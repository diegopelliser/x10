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elliser/Documents/Projetos VS Code/Financeiro X10/Assets/"/>
    </mc:Choice>
  </mc:AlternateContent>
  <xr:revisionPtr revIDLastSave="0" documentId="13_ncr:1_{980A5935-4572-9443-B51A-DE3EE40AE180}" xr6:coauthVersionLast="47" xr6:coauthVersionMax="47" xr10:uidLastSave="{00000000-0000-0000-0000-000000000000}"/>
  <bookViews>
    <workbookView xWindow="30240" yWindow="3200" windowWidth="22040" windowHeight="14240" xr2:uid="{12618E56-0401-45C6-9C3A-C6BED602E73C}"/>
  </bookViews>
  <sheets>
    <sheet name="ABRIL 2026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2" l="1"/>
  <c r="D124" i="12"/>
  <c r="D123" i="12"/>
  <c r="D57" i="12"/>
  <c r="D51" i="12"/>
  <c r="D50" i="12"/>
  <c r="D46" i="12"/>
  <c r="D40" i="12"/>
  <c r="D39" i="12"/>
  <c r="D26" i="12"/>
  <c r="D25" i="12"/>
  <c r="D45" i="12"/>
  <c r="D56" i="12"/>
  <c r="D47" i="12" l="1"/>
  <c r="D41" i="12"/>
  <c r="D58" i="12"/>
  <c r="D125" i="12" s="1"/>
  <c r="D27" i="12"/>
  <c r="D52" i="12" l="1"/>
</calcChain>
</file>

<file path=xl/sharedStrings.xml><?xml version="1.0" encoding="utf-8"?>
<sst xmlns="http://schemas.openxmlformats.org/spreadsheetml/2006/main" count="341" uniqueCount="142">
  <si>
    <t>Consórcios</t>
  </si>
  <si>
    <t>Corban</t>
  </si>
  <si>
    <t>Centro de custo</t>
  </si>
  <si>
    <t>Categoria</t>
  </si>
  <si>
    <t>Valor baixado (líquido)</t>
  </si>
  <si>
    <t>Receitas de Serviços</t>
  </si>
  <si>
    <t/>
  </si>
  <si>
    <t>Comissões de Vendedores</t>
  </si>
  <si>
    <t>Software / Licença de Uso</t>
  </si>
  <si>
    <t>Impostos retidos em vendas</t>
  </si>
  <si>
    <t>Cursos e Treinamentos</t>
  </si>
  <si>
    <t>Salários</t>
  </si>
  <si>
    <t>X10 Assessoria de Investimentos</t>
  </si>
  <si>
    <t>Rendimentos de Aplicações</t>
  </si>
  <si>
    <t>Exames Médicos</t>
  </si>
  <si>
    <t>Honorários (outros)</t>
  </si>
  <si>
    <t>FGTS e Multa de FGTS</t>
  </si>
  <si>
    <t>INSS sobre Salários - GPS</t>
  </si>
  <si>
    <t>Outras Imobilizações por Aquisição</t>
  </si>
  <si>
    <t>Lanches e Refeições</t>
  </si>
  <si>
    <t>Materiais de Uso e Consumo</t>
  </si>
  <si>
    <t>Condomínio</t>
  </si>
  <si>
    <t>Bens de Pequeno Valor</t>
  </si>
  <si>
    <t>Remuneração de Estagiários</t>
  </si>
  <si>
    <t>Honorários Contábeis</t>
  </si>
  <si>
    <t>Materiais de Limpeza e de Higiene</t>
  </si>
  <si>
    <t>Previdência Privada</t>
  </si>
  <si>
    <t>Energia Elétrica</t>
  </si>
  <si>
    <t>Aluguel</t>
  </si>
  <si>
    <t>Compra</t>
  </si>
  <si>
    <t>Simples Nacional - DAS</t>
  </si>
  <si>
    <t>Internet e Tecnologia</t>
  </si>
  <si>
    <t>Marketing e Publicidade</t>
  </si>
  <si>
    <t>ISS sobre Faturamento</t>
  </si>
  <si>
    <t>Pró-labore</t>
  </si>
  <si>
    <t>IRPJ / CSLL Trimestral</t>
  </si>
  <si>
    <t>Vida e Previdência</t>
  </si>
  <si>
    <t>Imobiliário</t>
  </si>
  <si>
    <t>AI Inv POA</t>
  </si>
  <si>
    <t>Móveis, Utensílios e Instalações Administrativos</t>
  </si>
  <si>
    <t>Total geral</t>
  </si>
  <si>
    <t>Manutenção de Equipamentos</t>
  </si>
  <si>
    <t>Investimentos</t>
  </si>
  <si>
    <t>Descrição da parcela</t>
  </si>
  <si>
    <t>Aluguel Poa</t>
  </si>
  <si>
    <t>COMISSÃO CORBAN LUCAS</t>
  </si>
  <si>
    <t>COMISSÕES V&amp;P</t>
  </si>
  <si>
    <t>CORBAN CESAR</t>
  </si>
  <si>
    <t>INTERNET DA VIVO DO ESCRITORIO DE POA</t>
  </si>
  <si>
    <t>COMPRA DE AR CONDICIONADO PARA POA EM 8X CARTÃO DIEGO</t>
  </si>
  <si>
    <t>Pró Labore para Lucas Ogliari Bavaresco</t>
  </si>
  <si>
    <t>Salario Cesar Alberto Guarnieri Junior</t>
  </si>
  <si>
    <t>RECEBIMENTO DAS COMISSÕES V &amp; P</t>
  </si>
  <si>
    <t>Valor de Rendimento Remunera+</t>
  </si>
  <si>
    <t>RECEITA TOTAL:</t>
  </si>
  <si>
    <t>DESPESAS TOTAL:</t>
  </si>
  <si>
    <t>SALDO FINAL:</t>
  </si>
  <si>
    <t>COMISSÕES SERVOPA</t>
  </si>
  <si>
    <t>COMISSÕS FRANQ</t>
  </si>
  <si>
    <t>COMISSÕS SERVOPA</t>
  </si>
  <si>
    <t>CONSORCIO SERVOPA</t>
  </si>
  <si>
    <t>CORBAN</t>
  </si>
  <si>
    <t>V &amp; P</t>
  </si>
  <si>
    <t>Comissões  AI</t>
  </si>
  <si>
    <t>PREMIAÇÕES VICTOR</t>
  </si>
  <si>
    <t>Condomínio da Sala Comercial</t>
  </si>
  <si>
    <t>Curso BNI do Leo em 12x Cartão Leo</t>
  </si>
  <si>
    <t>G4 PASSE VITALICIO QUE O DIEGO COMPROU EM 12X NO CARTÃO DELE</t>
  </si>
  <si>
    <t>Plano de Medicina Ocupacional</t>
  </si>
  <si>
    <t>FGTS DOS COLABORADORES PJ2</t>
  </si>
  <si>
    <t>Convenio Apeme</t>
  </si>
  <si>
    <t>convenio CIC</t>
  </si>
  <si>
    <t>Honorários contábeis da PJ2</t>
  </si>
  <si>
    <t>INSS COLABORADORES</t>
  </si>
  <si>
    <t>Direct Call (cartão Diego)</t>
  </si>
  <si>
    <t>Mensalidade do plano de Internet</t>
  </si>
  <si>
    <t>OPEN AI</t>
  </si>
  <si>
    <t>Vivo</t>
  </si>
  <si>
    <t>Limpeza 2x Semana</t>
  </si>
  <si>
    <t>Vida e Previdências colaboradores</t>
  </si>
  <si>
    <t>Pró Labore Leonardo Berteli Piveta</t>
  </si>
  <si>
    <t>Pró Labore para Andrei Cousseau</t>
  </si>
  <si>
    <t>Salario Fixo</t>
  </si>
  <si>
    <t>Salario Ref. ao Mês trabalhado</t>
  </si>
  <si>
    <t>SALARIO VICTOR</t>
  </si>
  <si>
    <t>GUIA DO SIMPLES PJ2</t>
  </si>
  <si>
    <t>9 CARTAS DE CONSORCIOS DE 110 MIL CADA UMA</t>
  </si>
  <si>
    <t>Royalties pagos a Franq</t>
  </si>
  <si>
    <t>CONSULTORIA EMPRESARIA PARA 2026</t>
  </si>
  <si>
    <t>RD MKT</t>
  </si>
  <si>
    <t>BNI Daniel Turma Bento 12x</t>
  </si>
  <si>
    <t>COMPRA DE PRODUTOS DE LIMPEZA E BANHEIRO</t>
  </si>
  <si>
    <t>COMPRAS DIA A DIA PARA ESCRITORIO</t>
  </si>
  <si>
    <t>ENTRADA DOS VALORES RECEBIDOS NA NOVA EMRPESA DO DIEGO (CONTA SABRINA)</t>
  </si>
  <si>
    <t>COMISSÕES PATAMAR</t>
  </si>
  <si>
    <t>COMISSÕES GESTÃO PATRIMONIAL DIEGO</t>
  </si>
  <si>
    <t>MINIMO GARANTIDO</t>
  </si>
  <si>
    <t>COMPRAS NO MES NA PADARIA</t>
  </si>
  <si>
    <t>ANUNCIOS FACE NO CARTÃO DO ANDREI PELA CONTA DE ANUNCIOS ENTRE ALTAS E BAIXAS</t>
  </si>
  <si>
    <t>AUTOMAÇÃO LINKEDIN PARA CAPTAR ASSESSORES</t>
  </si>
  <si>
    <t>Facebook GDI</t>
  </si>
  <si>
    <t>MENSALIDADE AUTOMAÇÃO INSTAGRAM ENTRE ALTAS E BAIXA E X10</t>
  </si>
  <si>
    <t>cadeiras Poa 8/10</t>
  </si>
  <si>
    <t>Compras iniciais escritório POA (lixeira, etc) 7/8</t>
  </si>
  <si>
    <t>Microondas POA 6/10</t>
  </si>
  <si>
    <t>Purificado de Água POA 7/10</t>
  </si>
  <si>
    <t>TV nova Escritório POA (uma compra, duas faturas) 7/10</t>
  </si>
  <si>
    <t>PREMIAÇÃO POR BATER A META DE CAPTAÇÃO DO MES DE MARÇO</t>
  </si>
  <si>
    <t>Compra de serviço Série:70000 / NFS-e:91 CHAVEIRO POA</t>
  </si>
  <si>
    <t>RD STATION PARTE POA</t>
  </si>
  <si>
    <t>Facebook POA</t>
  </si>
  <si>
    <t>LIMPEZA ESCRITORIO POA</t>
  </si>
  <si>
    <t>Venda 102 (CORBAN)</t>
  </si>
  <si>
    <t>Venda 103 (COMISSÕES AI)</t>
  </si>
  <si>
    <t>Consórcios SERVOPA</t>
  </si>
  <si>
    <t>PAGAMENTO DOS SERVIÇOS PRESTADOS NO MES</t>
  </si>
  <si>
    <t>Curso Consórcios 8/12</t>
  </si>
  <si>
    <t>COMISSSOES SERVOPA ADMINISTRADORA DE CONSORCIOS LTD</t>
  </si>
  <si>
    <t>INCENTIVOS DAS VENDAS SERVOPA (quinta parcela de comissão vem com 0,5% extra)</t>
  </si>
  <si>
    <t>COMISSÃO DA VENDA DE 100K Rafael Lumi</t>
  </si>
  <si>
    <t>Aluguel Sala X10 GDI</t>
  </si>
  <si>
    <t>Ar Condicionado X10 10x 10/10</t>
  </si>
  <si>
    <t>COMPRA DE 4 CADEIRAS NOVAS PARA SALA DE REUNIÃO 7X CARTÃO X10</t>
  </si>
  <si>
    <t>AJUSTE COMISSÃO MINIMA</t>
  </si>
  <si>
    <t>COMISSÃO AI  Diego Collaziol</t>
  </si>
  <si>
    <t>PREMIAÇÕES DO MES DE MARÇO, PRIMEIRO NO RANKING DE CAPTAÇÃO, CAPTOU MAIS DE 1000 MAIS DE 2000 E MAIS DE 4000 MILHOES</t>
  </si>
  <si>
    <t>PREMIO POR TER CAPTADO MAIS DE 1 MILHÃO DE NNM</t>
  </si>
  <si>
    <t>Compra de serviço Série:002 / NFS-e:2589</t>
  </si>
  <si>
    <t>Compra de serviço Série:00900 / NFS-e:667</t>
  </si>
  <si>
    <t>Compra de serviço Série:1 / NFS-e:6703</t>
  </si>
  <si>
    <t>Compra de serviço Série:3000 / NFS-e:2746704 CONTA AZUL EM 12X CARTÃO DIEGO 3/12</t>
  </si>
  <si>
    <t>Compra de serviço Série:70000 / NFS-e:22 (ESTAGIO PEDRO)</t>
  </si>
  <si>
    <t>Canva 12x 10/12</t>
  </si>
  <si>
    <t>RD STATION PARTE GDI</t>
  </si>
  <si>
    <t>IRPJ PRIMEIRO TRIMESTRE 2026</t>
  </si>
  <si>
    <t>CUSTOS COM ANALISE E TENTATIVA DE CONSERTO DO AR CONCIDIONADO SALA REUNIAO 2, NÃO CONSEGUIRAM ARRUMAR, EMPRESA DO PESSOAL DO BNI</t>
  </si>
  <si>
    <t>PATROCINIO TIME DE FUTEBOL DANI LOIS</t>
  </si>
  <si>
    <t>TRAFEGO PAGO YOUTUBE E GOOGLE CARTÃO X10</t>
  </si>
  <si>
    <t>COMPRA DE CAFES MERCADO LIVRE + 2 FILTROS DE AGUA</t>
  </si>
  <si>
    <t>Magalu ver compra 6/7</t>
  </si>
  <si>
    <t>Estagio Pedro 700,00</t>
  </si>
  <si>
    <t>Jacksparrow 12x 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</si>
</sst>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.5"/>
      <color rgb="FF575757"/>
      <name val="Ping Pong"/>
    </font>
    <font>
      <b/>
      <sz val="10.5"/>
      <color rgb="FF575757"/>
      <name val="Ping Pong"/>
    </font>
    <font>
      <b/>
      <sz val="12"/>
      <color rgb="FF0070C0"/>
      <name val="Ping Pong"/>
    </font>
    <font>
      <b/>
      <sz val="12"/>
      <color rgb="FFFF0000"/>
      <name val="Ping Pong"/>
    </font>
    <font>
      <b/>
      <sz val="12"/>
      <color theme="0"/>
      <name val="Ping Pong"/>
    </font>
    <font>
      <sz val="14"/>
      <color rgb="FF575757"/>
      <name val="Ping Pong"/>
    </font>
    <font>
      <sz val="16"/>
      <color rgb="FF575757"/>
      <name val="Ping Pong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7" tint="0.59999389629810485"/>
        <bgColor rgb="FFF1F4F9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39" fontId="1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39" fontId="3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39" fontId="4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39" fontId="5" fillId="4" borderId="1" xfId="0" applyNumberFormat="1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left" vertical="center" wrapText="1"/>
    </xf>
    <xf numFmtId="39" fontId="1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 wrapText="1"/>
    </xf>
    <xf numFmtId="39" fontId="3" fillId="5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39" fontId="4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39" fontId="5" fillId="5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39" fontId="6" fillId="3" borderId="1" xfId="0" applyNumberFormat="1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7B84-104B-4B84-BE12-37C2842C76B9}">
  <dimension ref="A1:D126"/>
  <sheetViews>
    <sheetView tabSelected="1" zoomScale="99" zoomScaleNormal="100" workbookViewId="0">
      <selection activeCell="B66" sqref="B66"/>
    </sheetView>
  </sheetViews>
  <sheetFormatPr baseColWidth="10" defaultColWidth="53.5" defaultRowHeight="15"/>
  <cols>
    <col min="1" max="1" width="31.33203125" bestFit="1" customWidth="1"/>
    <col min="2" max="2" width="44.83203125" bestFit="1" customWidth="1"/>
    <col min="3" max="3" width="53.33203125" bestFit="1" customWidth="1"/>
    <col min="4" max="4" width="23.83203125" bestFit="1" customWidth="1"/>
  </cols>
  <sheetData>
    <row r="1" spans="1:4">
      <c r="A1" s="17" t="s">
        <v>2</v>
      </c>
      <c r="B1" s="17" t="s">
        <v>3</v>
      </c>
      <c r="C1" s="17" t="s">
        <v>43</v>
      </c>
      <c r="D1" s="18" t="s">
        <v>4</v>
      </c>
    </row>
    <row r="2" spans="1:4">
      <c r="A2" s="1" t="s">
        <v>38</v>
      </c>
      <c r="B2" s="1" t="s">
        <v>28</v>
      </c>
      <c r="C2" s="1" t="s">
        <v>44</v>
      </c>
      <c r="D2" s="2">
        <v>-2628.51</v>
      </c>
    </row>
    <row r="3" spans="1:4">
      <c r="A3" s="1" t="s">
        <v>6</v>
      </c>
      <c r="B3" s="1" t="s">
        <v>22</v>
      </c>
      <c r="C3" s="1" t="s">
        <v>102</v>
      </c>
      <c r="D3" s="2">
        <v>-293.16000000000003</v>
      </c>
    </row>
    <row r="4" spans="1:4">
      <c r="A4" s="1" t="s">
        <v>6</v>
      </c>
      <c r="B4" s="1" t="s">
        <v>6</v>
      </c>
      <c r="C4" s="1" t="s">
        <v>103</v>
      </c>
      <c r="D4" s="2">
        <v>-152.84</v>
      </c>
    </row>
    <row r="5" spans="1:4">
      <c r="A5" s="1" t="s">
        <v>6</v>
      </c>
      <c r="B5" s="1" t="s">
        <v>6</v>
      </c>
      <c r="C5" s="1" t="s">
        <v>104</v>
      </c>
      <c r="D5" s="2">
        <v>-57.67</v>
      </c>
    </row>
    <row r="6" spans="1:4">
      <c r="A6" s="1" t="s">
        <v>6</v>
      </c>
      <c r="B6" s="1" t="s">
        <v>6</v>
      </c>
      <c r="C6" s="1" t="s">
        <v>105</v>
      </c>
      <c r="D6" s="2">
        <v>-69.89</v>
      </c>
    </row>
    <row r="7" spans="1:4">
      <c r="A7" s="1" t="s">
        <v>6</v>
      </c>
      <c r="B7" s="1" t="s">
        <v>6</v>
      </c>
      <c r="C7" s="1" t="s">
        <v>106</v>
      </c>
      <c r="D7" s="2">
        <v>-227.16</v>
      </c>
    </row>
    <row r="8" spans="1:4">
      <c r="A8" s="1" t="s">
        <v>6</v>
      </c>
      <c r="B8" s="1" t="s">
        <v>7</v>
      </c>
      <c r="C8" s="1" t="s">
        <v>45</v>
      </c>
      <c r="D8" s="2">
        <v>-222.28</v>
      </c>
    </row>
    <row r="9" spans="1:4">
      <c r="A9" s="1" t="s">
        <v>6</v>
      </c>
      <c r="B9" s="1" t="s">
        <v>6</v>
      </c>
      <c r="C9" s="1" t="s">
        <v>46</v>
      </c>
      <c r="D9" s="2">
        <v>-50.38</v>
      </c>
    </row>
    <row r="10" spans="1:4">
      <c r="A10" s="1" t="s">
        <v>6</v>
      </c>
      <c r="B10" s="1" t="s">
        <v>6</v>
      </c>
      <c r="C10" s="1" t="s">
        <v>47</v>
      </c>
      <c r="D10" s="2">
        <v>-23.38</v>
      </c>
    </row>
    <row r="11" spans="1:4">
      <c r="A11" s="1" t="s">
        <v>6</v>
      </c>
      <c r="B11" s="1" t="s">
        <v>6</v>
      </c>
      <c r="C11" s="1" t="s">
        <v>96</v>
      </c>
      <c r="D11" s="2">
        <v>-1549</v>
      </c>
    </row>
    <row r="12" spans="1:4" ht="30">
      <c r="A12" s="1" t="s">
        <v>6</v>
      </c>
      <c r="B12" s="1" t="s">
        <v>6</v>
      </c>
      <c r="C12" s="1" t="s">
        <v>107</v>
      </c>
      <c r="D12" s="2">
        <v>-300</v>
      </c>
    </row>
    <row r="13" spans="1:4">
      <c r="A13" s="1" t="s">
        <v>6</v>
      </c>
      <c r="B13" s="1" t="s">
        <v>29</v>
      </c>
      <c r="C13" s="1" t="s">
        <v>108</v>
      </c>
      <c r="D13" s="2">
        <v>-120</v>
      </c>
    </row>
    <row r="14" spans="1:4">
      <c r="A14" s="1" t="s">
        <v>6</v>
      </c>
      <c r="B14" s="1" t="s">
        <v>31</v>
      </c>
      <c r="C14" s="1" t="s">
        <v>48</v>
      </c>
      <c r="D14" s="2">
        <v>-99.99</v>
      </c>
    </row>
    <row r="15" spans="1:4">
      <c r="A15" s="1" t="s">
        <v>6</v>
      </c>
      <c r="B15" s="1" t="s">
        <v>6</v>
      </c>
      <c r="C15" s="1" t="s">
        <v>109</v>
      </c>
      <c r="D15" s="2">
        <v>-335.54</v>
      </c>
    </row>
    <row r="16" spans="1:4">
      <c r="A16" s="1" t="s">
        <v>6</v>
      </c>
      <c r="B16" s="1" t="s">
        <v>32</v>
      </c>
      <c r="C16" s="1" t="s">
        <v>110</v>
      </c>
      <c r="D16" s="2">
        <v>-770.6</v>
      </c>
    </row>
    <row r="17" spans="1:4">
      <c r="A17" s="1" t="s">
        <v>6</v>
      </c>
      <c r="B17" s="1" t="s">
        <v>25</v>
      </c>
      <c r="C17" s="1" t="s">
        <v>111</v>
      </c>
      <c r="D17" s="2">
        <v>-180</v>
      </c>
    </row>
    <row r="18" spans="1:4" ht="30">
      <c r="A18" s="1" t="s">
        <v>6</v>
      </c>
      <c r="B18" s="1" t="s">
        <v>39</v>
      </c>
      <c r="C18" s="1" t="s">
        <v>49</v>
      </c>
      <c r="D18" s="2">
        <v>-477.38</v>
      </c>
    </row>
    <row r="19" spans="1:4">
      <c r="A19" s="1" t="s">
        <v>6</v>
      </c>
      <c r="B19" s="1" t="s">
        <v>34</v>
      </c>
      <c r="C19" s="1" t="s">
        <v>50</v>
      </c>
      <c r="D19" s="2">
        <v>-4000</v>
      </c>
    </row>
    <row r="20" spans="1:4">
      <c r="A20" s="1" t="s">
        <v>6</v>
      </c>
      <c r="B20" s="1" t="s">
        <v>6</v>
      </c>
      <c r="C20" s="1" t="s">
        <v>51</v>
      </c>
      <c r="D20" s="2">
        <v>-4000</v>
      </c>
    </row>
    <row r="21" spans="1:4">
      <c r="A21" s="1" t="s">
        <v>6</v>
      </c>
      <c r="B21" s="1" t="s">
        <v>5</v>
      </c>
      <c r="C21" s="1" t="s">
        <v>52</v>
      </c>
      <c r="D21" s="2">
        <v>251.91</v>
      </c>
    </row>
    <row r="22" spans="1:4">
      <c r="A22" s="1" t="s">
        <v>6</v>
      </c>
      <c r="B22" s="1" t="s">
        <v>6</v>
      </c>
      <c r="C22" s="1" t="s">
        <v>112</v>
      </c>
      <c r="D22" s="2">
        <v>383</v>
      </c>
    </row>
    <row r="23" spans="1:4">
      <c r="A23" s="1" t="s">
        <v>6</v>
      </c>
      <c r="B23" s="1" t="s">
        <v>6</v>
      </c>
      <c r="C23" s="1" t="s">
        <v>113</v>
      </c>
      <c r="D23" s="2">
        <v>12072.09</v>
      </c>
    </row>
    <row r="24" spans="1:4">
      <c r="A24" s="1" t="s">
        <v>6</v>
      </c>
      <c r="B24" s="1" t="s">
        <v>13</v>
      </c>
      <c r="C24" s="1" t="s">
        <v>53</v>
      </c>
      <c r="D24" s="2">
        <v>6.419999999999999</v>
      </c>
    </row>
    <row r="25" spans="1:4" ht="17">
      <c r="A25" s="1"/>
      <c r="B25" s="1"/>
      <c r="C25" s="3" t="s">
        <v>54</v>
      </c>
      <c r="D25" s="4">
        <f>SUM(D21:D24)</f>
        <v>12713.42</v>
      </c>
    </row>
    <row r="26" spans="1:4" ht="17">
      <c r="A26" s="1"/>
      <c r="B26" s="1"/>
      <c r="C26" s="5" t="s">
        <v>55</v>
      </c>
      <c r="D26" s="6">
        <f>SUM(D2:D20)</f>
        <v>-15557.78</v>
      </c>
    </row>
    <row r="27" spans="1:4" ht="17">
      <c r="A27" s="1"/>
      <c r="B27" s="1"/>
      <c r="C27" s="7" t="s">
        <v>56</v>
      </c>
      <c r="D27" s="8">
        <f>D25+D26</f>
        <v>-2844.3600000000006</v>
      </c>
    </row>
    <row r="28" spans="1:4">
      <c r="A28" s="9" t="s">
        <v>0</v>
      </c>
      <c r="B28" s="9" t="s">
        <v>7</v>
      </c>
      <c r="C28" s="9" t="s">
        <v>57</v>
      </c>
      <c r="D28" s="10">
        <v>-2496.88</v>
      </c>
    </row>
    <row r="29" spans="1:4">
      <c r="A29" s="9" t="s">
        <v>6</v>
      </c>
      <c r="B29" s="9" t="s">
        <v>6</v>
      </c>
      <c r="C29" s="9" t="s">
        <v>58</v>
      </c>
      <c r="D29" s="10">
        <v>-464.3</v>
      </c>
    </row>
    <row r="30" spans="1:4">
      <c r="A30" s="9" t="s">
        <v>6</v>
      </c>
      <c r="B30" s="9" t="s">
        <v>6</v>
      </c>
      <c r="C30" s="9" t="s">
        <v>59</v>
      </c>
      <c r="D30" s="10">
        <v>-860.63</v>
      </c>
    </row>
    <row r="31" spans="1:4">
      <c r="A31" s="9" t="s">
        <v>6</v>
      </c>
      <c r="B31" s="9" t="s">
        <v>6</v>
      </c>
      <c r="C31" s="9" t="s">
        <v>60</v>
      </c>
      <c r="D31" s="10">
        <v>-350.63</v>
      </c>
    </row>
    <row r="32" spans="1:4">
      <c r="A32" s="9" t="s">
        <v>6</v>
      </c>
      <c r="B32" s="9" t="s">
        <v>6</v>
      </c>
      <c r="C32" s="9" t="s">
        <v>0</v>
      </c>
      <c r="D32" s="10">
        <v>-1088</v>
      </c>
    </row>
    <row r="33" spans="1:4">
      <c r="A33" s="9" t="s">
        <v>6</v>
      </c>
      <c r="B33" s="9" t="s">
        <v>6</v>
      </c>
      <c r="C33" s="9" t="s">
        <v>114</v>
      </c>
      <c r="D33" s="10">
        <v>-708.97</v>
      </c>
    </row>
    <row r="34" spans="1:4">
      <c r="A34" s="9" t="s">
        <v>6</v>
      </c>
      <c r="B34" s="9" t="s">
        <v>6</v>
      </c>
      <c r="C34" s="9" t="s">
        <v>115</v>
      </c>
      <c r="D34" s="10">
        <v>-2968</v>
      </c>
    </row>
    <row r="35" spans="1:4">
      <c r="A35" s="9" t="s">
        <v>6</v>
      </c>
      <c r="B35" s="9" t="s">
        <v>10</v>
      </c>
      <c r="C35" s="9" t="s">
        <v>116</v>
      </c>
      <c r="D35" s="10">
        <v>-196.19</v>
      </c>
    </row>
    <row r="36" spans="1:4">
      <c r="A36" s="9" t="s">
        <v>6</v>
      </c>
      <c r="B36" s="9" t="s">
        <v>42</v>
      </c>
      <c r="C36" s="9" t="s">
        <v>86</v>
      </c>
      <c r="D36" s="10">
        <v>-2483.91</v>
      </c>
    </row>
    <row r="37" spans="1:4" ht="30">
      <c r="A37" s="9" t="s">
        <v>6</v>
      </c>
      <c r="B37" s="9" t="s">
        <v>5</v>
      </c>
      <c r="C37" s="9" t="s">
        <v>117</v>
      </c>
      <c r="D37" s="10">
        <v>16805.28</v>
      </c>
    </row>
    <row r="38" spans="1:4" ht="30">
      <c r="A38" s="9" t="s">
        <v>6</v>
      </c>
      <c r="B38" s="9" t="s">
        <v>6</v>
      </c>
      <c r="C38" s="9" t="s">
        <v>118</v>
      </c>
      <c r="D38" s="10">
        <v>6925</v>
      </c>
    </row>
    <row r="39" spans="1:4" ht="17">
      <c r="A39" s="9"/>
      <c r="B39" s="9"/>
      <c r="C39" s="11" t="s">
        <v>54</v>
      </c>
      <c r="D39" s="12">
        <f>SUM(D37:D38)</f>
        <v>23730.28</v>
      </c>
    </row>
    <row r="40" spans="1:4" ht="17">
      <c r="A40" s="9"/>
      <c r="B40" s="9"/>
      <c r="C40" s="13" t="s">
        <v>55</v>
      </c>
      <c r="D40" s="14">
        <f>SUM(D28:D36)</f>
        <v>-11617.51</v>
      </c>
    </row>
    <row r="41" spans="1:4" ht="17">
      <c r="A41" s="9"/>
      <c r="B41" s="9"/>
      <c r="C41" s="15" t="s">
        <v>56</v>
      </c>
      <c r="D41" s="16">
        <f>D39+D40</f>
        <v>12112.769999999999</v>
      </c>
    </row>
    <row r="42" spans="1:4">
      <c r="A42" s="1" t="s">
        <v>1</v>
      </c>
      <c r="B42" s="1" t="s">
        <v>7</v>
      </c>
      <c r="C42" s="1" t="s">
        <v>61</v>
      </c>
      <c r="D42" s="2">
        <v>-2429.0299999999997</v>
      </c>
    </row>
    <row r="43" spans="1:4">
      <c r="A43" s="1" t="s">
        <v>6</v>
      </c>
      <c r="B43" s="1" t="s">
        <v>9</v>
      </c>
      <c r="C43" s="1" t="s">
        <v>112</v>
      </c>
      <c r="D43" s="2">
        <v>-614.96</v>
      </c>
    </row>
    <row r="44" spans="1:4">
      <c r="A44" s="1" t="s">
        <v>6</v>
      </c>
      <c r="B44" s="1" t="s">
        <v>5</v>
      </c>
      <c r="C44" s="1" t="s">
        <v>112</v>
      </c>
      <c r="D44" s="2">
        <v>9616.39</v>
      </c>
    </row>
    <row r="45" spans="1:4" ht="17">
      <c r="A45" s="1"/>
      <c r="B45" s="1"/>
      <c r="C45" s="3" t="s">
        <v>54</v>
      </c>
      <c r="D45" s="4">
        <f>SUM(D44)</f>
        <v>9616.39</v>
      </c>
    </row>
    <row r="46" spans="1:4" ht="17">
      <c r="A46" s="1"/>
      <c r="B46" s="1"/>
      <c r="C46" s="5" t="s">
        <v>55</v>
      </c>
      <c r="D46" s="6">
        <f>SUM(D42:D43)</f>
        <v>-3043.99</v>
      </c>
    </row>
    <row r="47" spans="1:4" ht="17">
      <c r="A47" s="1"/>
      <c r="B47" s="1"/>
      <c r="C47" s="7" t="s">
        <v>56</v>
      </c>
      <c r="D47" s="8">
        <f>D45+D46</f>
        <v>6572.4</v>
      </c>
    </row>
    <row r="48" spans="1:4">
      <c r="A48" s="9" t="s">
        <v>37</v>
      </c>
      <c r="B48" s="9" t="s">
        <v>7</v>
      </c>
      <c r="C48" s="9" t="s">
        <v>94</v>
      </c>
      <c r="D48" s="10">
        <v>-1062.5</v>
      </c>
    </row>
    <row r="49" spans="1:4">
      <c r="A49" s="9" t="s">
        <v>6</v>
      </c>
      <c r="B49" s="9" t="s">
        <v>5</v>
      </c>
      <c r="C49" s="9" t="s">
        <v>119</v>
      </c>
      <c r="D49" s="10">
        <v>5000</v>
      </c>
    </row>
    <row r="50" spans="1:4" ht="17">
      <c r="A50" s="9"/>
      <c r="B50" s="9"/>
      <c r="C50" s="11" t="s">
        <v>54</v>
      </c>
      <c r="D50" s="12">
        <f>SUM(D49)</f>
        <v>5000</v>
      </c>
    </row>
    <row r="51" spans="1:4" ht="17">
      <c r="A51" s="9"/>
      <c r="B51" s="9"/>
      <c r="C51" s="13" t="s">
        <v>55</v>
      </c>
      <c r="D51" s="14">
        <f>SUM(D48)</f>
        <v>-1062.5</v>
      </c>
    </row>
    <row r="52" spans="1:4" ht="17">
      <c r="A52" s="9"/>
      <c r="B52" s="9"/>
      <c r="C52" s="15" t="s">
        <v>56</v>
      </c>
      <c r="D52" s="16">
        <f>D50+D51</f>
        <v>3937.5</v>
      </c>
    </row>
    <row r="53" spans="1:4">
      <c r="A53" s="1" t="s">
        <v>36</v>
      </c>
      <c r="B53" s="1" t="s">
        <v>7</v>
      </c>
      <c r="C53" s="1" t="s">
        <v>62</v>
      </c>
      <c r="D53" s="2">
        <v>-4337.3899999999994</v>
      </c>
    </row>
    <row r="54" spans="1:4">
      <c r="A54" s="1" t="s">
        <v>6</v>
      </c>
      <c r="B54" s="1" t="s">
        <v>15</v>
      </c>
      <c r="C54" s="1" t="s">
        <v>87</v>
      </c>
      <c r="D54" s="2">
        <v>-707.68000000000006</v>
      </c>
    </row>
    <row r="55" spans="1:4">
      <c r="A55" s="1" t="s">
        <v>6</v>
      </c>
      <c r="B55" s="1" t="s">
        <v>5</v>
      </c>
      <c r="C55" s="1" t="s">
        <v>52</v>
      </c>
      <c r="D55" s="2">
        <v>11570.18</v>
      </c>
    </row>
    <row r="56" spans="1:4" ht="17">
      <c r="A56" s="1"/>
      <c r="B56" s="1"/>
      <c r="C56" s="3" t="s">
        <v>54</v>
      </c>
      <c r="D56" s="4">
        <f>SUM(D55)</f>
        <v>11570.18</v>
      </c>
    </row>
    <row r="57" spans="1:4" ht="17">
      <c r="A57" s="1"/>
      <c r="B57" s="1"/>
      <c r="C57" s="5" t="s">
        <v>55</v>
      </c>
      <c r="D57" s="6">
        <f>SUM(D53:D54)</f>
        <v>-5045.07</v>
      </c>
    </row>
    <row r="58" spans="1:4" ht="17">
      <c r="A58" s="1"/>
      <c r="B58" s="1"/>
      <c r="C58" s="7" t="s">
        <v>56</v>
      </c>
      <c r="D58" s="8">
        <f>D56+D57</f>
        <v>6525.1100000000006</v>
      </c>
    </row>
    <row r="59" spans="1:4">
      <c r="A59" s="9" t="s">
        <v>12</v>
      </c>
      <c r="B59" s="9" t="s">
        <v>28</v>
      </c>
      <c r="C59" s="9" t="s">
        <v>120</v>
      </c>
      <c r="D59" s="10">
        <v>-2160</v>
      </c>
    </row>
    <row r="60" spans="1:4">
      <c r="A60" s="9" t="s">
        <v>6</v>
      </c>
      <c r="B60" s="9" t="s">
        <v>22</v>
      </c>
      <c r="C60" s="9" t="s">
        <v>121</v>
      </c>
      <c r="D60" s="10">
        <v>-399.89</v>
      </c>
    </row>
    <row r="61" spans="1:4" ht="30">
      <c r="A61" s="9" t="s">
        <v>6</v>
      </c>
      <c r="B61" s="9" t="s">
        <v>6</v>
      </c>
      <c r="C61" s="9" t="s">
        <v>122</v>
      </c>
      <c r="D61" s="10">
        <v>-192.88</v>
      </c>
    </row>
    <row r="62" spans="1:4">
      <c r="A62" s="9" t="s">
        <v>6</v>
      </c>
      <c r="B62" s="9" t="s">
        <v>7</v>
      </c>
      <c r="C62" s="9" t="s">
        <v>123</v>
      </c>
      <c r="D62" s="10">
        <v>-1047.08</v>
      </c>
    </row>
    <row r="63" spans="1:4">
      <c r="A63" s="9" t="s">
        <v>6</v>
      </c>
      <c r="B63" s="9" t="s">
        <v>6</v>
      </c>
      <c r="C63" s="9" t="s">
        <v>124</v>
      </c>
      <c r="D63" s="10">
        <v>-51.83</v>
      </c>
    </row>
    <row r="64" spans="1:4">
      <c r="A64" s="9" t="s">
        <v>6</v>
      </c>
      <c r="B64" s="9" t="s">
        <v>6</v>
      </c>
      <c r="C64" s="9" t="s">
        <v>63</v>
      </c>
      <c r="D64" s="10">
        <v>-27698.13</v>
      </c>
    </row>
    <row r="65" spans="1:4">
      <c r="A65" s="9" t="s">
        <v>6</v>
      </c>
      <c r="B65" s="9" t="s">
        <v>6</v>
      </c>
      <c r="C65" s="9" t="s">
        <v>95</v>
      </c>
      <c r="D65" s="10">
        <v>-1466.2</v>
      </c>
    </row>
    <row r="66" spans="1:4">
      <c r="A66" s="9" t="s">
        <v>6</v>
      </c>
      <c r="B66" s="9" t="s">
        <v>6</v>
      </c>
      <c r="C66" s="9" t="s">
        <v>96</v>
      </c>
      <c r="D66" s="10">
        <v>-3000</v>
      </c>
    </row>
    <row r="67" spans="1:4" ht="45">
      <c r="A67" s="9" t="s">
        <v>6</v>
      </c>
      <c r="B67" s="9" t="s">
        <v>6</v>
      </c>
      <c r="C67" s="9" t="s">
        <v>125</v>
      </c>
      <c r="D67" s="10">
        <v>-1700</v>
      </c>
    </row>
    <row r="68" spans="1:4">
      <c r="A68" s="9" t="s">
        <v>6</v>
      </c>
      <c r="B68" s="9" t="s">
        <v>6</v>
      </c>
      <c r="C68" s="9" t="s">
        <v>64</v>
      </c>
      <c r="D68" s="10">
        <v>-600</v>
      </c>
    </row>
    <row r="69" spans="1:4">
      <c r="A69" s="9" t="s">
        <v>6</v>
      </c>
      <c r="B69" s="9" t="s">
        <v>6</v>
      </c>
      <c r="C69" s="9" t="s">
        <v>126</v>
      </c>
      <c r="D69" s="10">
        <v>-900</v>
      </c>
    </row>
    <row r="70" spans="1:4">
      <c r="A70" s="9" t="s">
        <v>6</v>
      </c>
      <c r="B70" s="9" t="s">
        <v>29</v>
      </c>
      <c r="C70" s="9" t="s">
        <v>127</v>
      </c>
      <c r="D70" s="10">
        <v>-1390.2</v>
      </c>
    </row>
    <row r="71" spans="1:4">
      <c r="A71" s="9" t="s">
        <v>6</v>
      </c>
      <c r="B71" s="9" t="s">
        <v>6</v>
      </c>
      <c r="C71" s="9" t="s">
        <v>128</v>
      </c>
      <c r="D71" s="10">
        <v>-500</v>
      </c>
    </row>
    <row r="72" spans="1:4">
      <c r="A72" s="9" t="s">
        <v>6</v>
      </c>
      <c r="B72" s="9" t="s">
        <v>6</v>
      </c>
      <c r="C72" s="9" t="s">
        <v>129</v>
      </c>
      <c r="D72" s="10">
        <v>-650</v>
      </c>
    </row>
    <row r="73" spans="1:4" ht="30">
      <c r="A73" s="9" t="s">
        <v>6</v>
      </c>
      <c r="B73" s="9" t="s">
        <v>6</v>
      </c>
      <c r="C73" s="9" t="s">
        <v>130</v>
      </c>
      <c r="D73" s="10">
        <v>-257.87</v>
      </c>
    </row>
    <row r="74" spans="1:4">
      <c r="A74" s="9" t="s">
        <v>6</v>
      </c>
      <c r="B74" s="9" t="s">
        <v>6</v>
      </c>
      <c r="C74" s="9" t="s">
        <v>131</v>
      </c>
      <c r="D74" s="10">
        <v>-84</v>
      </c>
    </row>
    <row r="75" spans="1:4">
      <c r="A75" s="9" t="s">
        <v>6</v>
      </c>
      <c r="B75" s="9" t="s">
        <v>21</v>
      </c>
      <c r="C75" s="9" t="s">
        <v>65</v>
      </c>
      <c r="D75" s="10">
        <v>-447.18</v>
      </c>
    </row>
    <row r="76" spans="1:4">
      <c r="A76" s="9" t="s">
        <v>6</v>
      </c>
      <c r="B76" s="9" t="s">
        <v>10</v>
      </c>
      <c r="C76" s="9" t="s">
        <v>88</v>
      </c>
      <c r="D76" s="10">
        <v>-3000</v>
      </c>
    </row>
    <row r="77" spans="1:4">
      <c r="A77" s="9" t="s">
        <v>6</v>
      </c>
      <c r="B77" s="9" t="s">
        <v>6</v>
      </c>
      <c r="C77" s="9" t="s">
        <v>66</v>
      </c>
      <c r="D77" s="10">
        <v>-461.62</v>
      </c>
    </row>
    <row r="78" spans="1:4" ht="30">
      <c r="A78" s="9" t="s">
        <v>6</v>
      </c>
      <c r="B78" s="9" t="s">
        <v>6</v>
      </c>
      <c r="C78" s="9" t="s">
        <v>67</v>
      </c>
      <c r="D78" s="10">
        <v>-249.75</v>
      </c>
    </row>
    <row r="79" spans="1:4">
      <c r="A79" s="9" t="s">
        <v>6</v>
      </c>
      <c r="B79" s="9" t="s">
        <v>27</v>
      </c>
      <c r="C79" s="9" t="s">
        <v>27</v>
      </c>
      <c r="D79" s="10">
        <v>-732.94</v>
      </c>
    </row>
    <row r="80" spans="1:4">
      <c r="A80" s="9" t="s">
        <v>6</v>
      </c>
      <c r="B80" s="9" t="s">
        <v>14</v>
      </c>
      <c r="C80" s="9" t="s">
        <v>68</v>
      </c>
      <c r="D80" s="10">
        <v>-63.91</v>
      </c>
    </row>
    <row r="81" spans="1:4">
      <c r="A81" s="9" t="s">
        <v>6</v>
      </c>
      <c r="B81" s="9" t="s">
        <v>16</v>
      </c>
      <c r="C81" s="9" t="s">
        <v>69</v>
      </c>
      <c r="D81" s="10">
        <v>-603.28</v>
      </c>
    </row>
    <row r="82" spans="1:4">
      <c r="A82" s="9" t="s">
        <v>6</v>
      </c>
      <c r="B82" s="9" t="s">
        <v>15</v>
      </c>
      <c r="C82" s="9" t="s">
        <v>70</v>
      </c>
      <c r="D82" s="10">
        <v>-73</v>
      </c>
    </row>
    <row r="83" spans="1:4">
      <c r="A83" s="9" t="s">
        <v>6</v>
      </c>
      <c r="B83" s="9" t="s">
        <v>6</v>
      </c>
      <c r="C83" s="9" t="s">
        <v>71</v>
      </c>
      <c r="D83" s="10">
        <v>-150</v>
      </c>
    </row>
    <row r="84" spans="1:4">
      <c r="A84" s="9" t="s">
        <v>6</v>
      </c>
      <c r="B84" s="9" t="s">
        <v>24</v>
      </c>
      <c r="C84" s="9" t="s">
        <v>72</v>
      </c>
      <c r="D84" s="10">
        <v>-200</v>
      </c>
    </row>
    <row r="85" spans="1:4">
      <c r="A85" s="9" t="s">
        <v>6</v>
      </c>
      <c r="B85" s="9" t="s">
        <v>9</v>
      </c>
      <c r="C85" s="9" t="s">
        <v>113</v>
      </c>
      <c r="D85" s="10">
        <v>-7933.88</v>
      </c>
    </row>
    <row r="86" spans="1:4">
      <c r="A86" s="9" t="s">
        <v>6</v>
      </c>
      <c r="B86" s="9" t="s">
        <v>17</v>
      </c>
      <c r="C86" s="9" t="s">
        <v>73</v>
      </c>
      <c r="D86" s="10">
        <v>-206.39</v>
      </c>
    </row>
    <row r="87" spans="1:4">
      <c r="A87" s="9" t="s">
        <v>6</v>
      </c>
      <c r="B87" s="9" t="s">
        <v>31</v>
      </c>
      <c r="C87" s="9" t="s">
        <v>132</v>
      </c>
      <c r="D87" s="10">
        <v>-24.24</v>
      </c>
    </row>
    <row r="88" spans="1:4">
      <c r="A88" s="9" t="s">
        <v>6</v>
      </c>
      <c r="B88" s="9" t="s">
        <v>6</v>
      </c>
      <c r="C88" s="9" t="s">
        <v>74</v>
      </c>
      <c r="D88" s="10">
        <v>-50</v>
      </c>
    </row>
    <row r="89" spans="1:4">
      <c r="A89" s="9" t="s">
        <v>6</v>
      </c>
      <c r="B89" s="9" t="s">
        <v>6</v>
      </c>
      <c r="C89" s="9" t="s">
        <v>75</v>
      </c>
      <c r="D89" s="10">
        <v>-99.9</v>
      </c>
    </row>
    <row r="90" spans="1:4">
      <c r="A90" s="9" t="s">
        <v>6</v>
      </c>
      <c r="B90" s="9" t="s">
        <v>6</v>
      </c>
      <c r="C90" s="9" t="s">
        <v>76</v>
      </c>
      <c r="D90" s="10">
        <v>-110.89</v>
      </c>
    </row>
    <row r="91" spans="1:4">
      <c r="A91" s="9" t="s">
        <v>6</v>
      </c>
      <c r="B91" s="9" t="s">
        <v>6</v>
      </c>
      <c r="C91" s="9" t="s">
        <v>89</v>
      </c>
      <c r="D91" s="10">
        <v>-766.9</v>
      </c>
    </row>
    <row r="92" spans="1:4">
      <c r="A92" s="9" t="s">
        <v>6</v>
      </c>
      <c r="B92" s="9" t="s">
        <v>6</v>
      </c>
      <c r="C92" s="9" t="s">
        <v>133</v>
      </c>
      <c r="D92" s="10">
        <v>-933.67</v>
      </c>
    </row>
    <row r="93" spans="1:4">
      <c r="A93" s="9" t="s">
        <v>6</v>
      </c>
      <c r="B93" s="9" t="s">
        <v>6</v>
      </c>
      <c r="C93" s="9" t="s">
        <v>77</v>
      </c>
      <c r="D93" s="10">
        <v>-38</v>
      </c>
    </row>
    <row r="94" spans="1:4">
      <c r="A94" s="9" t="s">
        <v>6</v>
      </c>
      <c r="B94" s="9" t="s">
        <v>35</v>
      </c>
      <c r="C94" s="9" t="s">
        <v>134</v>
      </c>
      <c r="D94" s="10">
        <v>-21023.02</v>
      </c>
    </row>
    <row r="95" spans="1:4">
      <c r="A95" s="9" t="s">
        <v>6</v>
      </c>
      <c r="B95" s="9" t="s">
        <v>33</v>
      </c>
      <c r="C95" s="9" t="s">
        <v>33</v>
      </c>
      <c r="D95" s="10">
        <v>-2164.64</v>
      </c>
    </row>
    <row r="96" spans="1:4">
      <c r="A96" s="9" t="s">
        <v>6</v>
      </c>
      <c r="B96" s="9" t="s">
        <v>19</v>
      </c>
      <c r="C96" s="9" t="s">
        <v>97</v>
      </c>
      <c r="D96" s="10">
        <v>-198.71</v>
      </c>
    </row>
    <row r="97" spans="1:4" ht="60">
      <c r="A97" s="9" t="s">
        <v>6</v>
      </c>
      <c r="B97" s="9" t="s">
        <v>41</v>
      </c>
      <c r="C97" s="9" t="s">
        <v>135</v>
      </c>
      <c r="D97" s="10">
        <v>-880</v>
      </c>
    </row>
    <row r="98" spans="1:4" ht="30">
      <c r="A98" s="9" t="s">
        <v>6</v>
      </c>
      <c r="B98" s="9" t="s">
        <v>32</v>
      </c>
      <c r="C98" s="9" t="s">
        <v>98</v>
      </c>
      <c r="D98" s="10">
        <v>-281.83</v>
      </c>
    </row>
    <row r="99" spans="1:4">
      <c r="A99" s="9" t="s">
        <v>6</v>
      </c>
      <c r="B99" s="9" t="s">
        <v>6</v>
      </c>
      <c r="C99" s="9" t="s">
        <v>99</v>
      </c>
      <c r="D99" s="10">
        <v>-314.91000000000003</v>
      </c>
    </row>
    <row r="100" spans="1:4">
      <c r="A100" s="9" t="s">
        <v>6</v>
      </c>
      <c r="B100" s="9" t="s">
        <v>6</v>
      </c>
      <c r="C100" s="9" t="s">
        <v>90</v>
      </c>
      <c r="D100" s="10">
        <v>-461.12</v>
      </c>
    </row>
    <row r="101" spans="1:4">
      <c r="A101" s="9" t="s">
        <v>6</v>
      </c>
      <c r="B101" s="9" t="s">
        <v>6</v>
      </c>
      <c r="C101" s="9" t="s">
        <v>100</v>
      </c>
      <c r="D101" s="10">
        <v>-1541.09</v>
      </c>
    </row>
    <row r="102" spans="1:4" ht="30">
      <c r="A102" s="9" t="s">
        <v>6</v>
      </c>
      <c r="B102" s="9" t="s">
        <v>6</v>
      </c>
      <c r="C102" s="9" t="s">
        <v>101</v>
      </c>
      <c r="D102" s="10">
        <v>-49.22</v>
      </c>
    </row>
    <row r="103" spans="1:4">
      <c r="A103" s="9" t="s">
        <v>6</v>
      </c>
      <c r="B103" s="9" t="s">
        <v>6</v>
      </c>
      <c r="C103" s="9" t="s">
        <v>136</v>
      </c>
      <c r="D103" s="10">
        <v>-250</v>
      </c>
    </row>
    <row r="104" spans="1:4">
      <c r="A104" s="9" t="s">
        <v>6</v>
      </c>
      <c r="B104" s="9" t="s">
        <v>6</v>
      </c>
      <c r="C104" s="9" t="s">
        <v>137</v>
      </c>
      <c r="D104" s="10">
        <v>-308.91000000000003</v>
      </c>
    </row>
    <row r="105" spans="1:4">
      <c r="A105" s="9" t="s">
        <v>6</v>
      </c>
      <c r="B105" s="9" t="s">
        <v>25</v>
      </c>
      <c r="C105" s="9" t="s">
        <v>78</v>
      </c>
      <c r="D105" s="10">
        <v>-931.14</v>
      </c>
    </row>
    <row r="106" spans="1:4" ht="30">
      <c r="A106" s="9" t="s">
        <v>6</v>
      </c>
      <c r="B106" s="9" t="s">
        <v>20</v>
      </c>
      <c r="C106" s="9" t="s">
        <v>138</v>
      </c>
      <c r="D106" s="10">
        <v>-426.46</v>
      </c>
    </row>
    <row r="107" spans="1:4">
      <c r="A107" s="9" t="s">
        <v>6</v>
      </c>
      <c r="B107" s="9" t="s">
        <v>6</v>
      </c>
      <c r="C107" s="9" t="s">
        <v>91</v>
      </c>
      <c r="D107" s="10">
        <v>-117.8</v>
      </c>
    </row>
    <row r="108" spans="1:4">
      <c r="A108" s="9" t="s">
        <v>6</v>
      </c>
      <c r="B108" s="9" t="s">
        <v>6</v>
      </c>
      <c r="C108" s="9" t="s">
        <v>92</v>
      </c>
      <c r="D108" s="10">
        <v>-93.4</v>
      </c>
    </row>
    <row r="109" spans="1:4">
      <c r="A109" s="9" t="s">
        <v>6</v>
      </c>
      <c r="B109" s="9" t="s">
        <v>18</v>
      </c>
      <c r="C109" s="9" t="s">
        <v>139</v>
      </c>
      <c r="D109" s="10">
        <v>-282.44</v>
      </c>
    </row>
    <row r="110" spans="1:4">
      <c r="A110" s="9" t="s">
        <v>6</v>
      </c>
      <c r="B110" s="9" t="s">
        <v>6</v>
      </c>
      <c r="C110" s="9" t="s">
        <v>106</v>
      </c>
      <c r="D110" s="10">
        <v>-227.16</v>
      </c>
    </row>
    <row r="111" spans="1:4">
      <c r="A111" s="9" t="s">
        <v>6</v>
      </c>
      <c r="B111" s="9" t="s">
        <v>26</v>
      </c>
      <c r="C111" s="9" t="s">
        <v>79</v>
      </c>
      <c r="D111" s="10">
        <v>-1000</v>
      </c>
    </row>
    <row r="112" spans="1:4">
      <c r="A112" s="9" t="s">
        <v>6</v>
      </c>
      <c r="B112" s="9" t="s">
        <v>34</v>
      </c>
      <c r="C112" s="9" t="s">
        <v>80</v>
      </c>
      <c r="D112" s="10">
        <v>-7000</v>
      </c>
    </row>
    <row r="113" spans="1:4">
      <c r="A113" s="9" t="s">
        <v>6</v>
      </c>
      <c r="B113" s="9" t="s">
        <v>6</v>
      </c>
      <c r="C113" s="9" t="s">
        <v>81</v>
      </c>
      <c r="D113" s="10">
        <v>-8000</v>
      </c>
    </row>
    <row r="114" spans="1:4" ht="30">
      <c r="A114" s="9" t="s">
        <v>6</v>
      </c>
      <c r="B114" s="9" t="s">
        <v>5</v>
      </c>
      <c r="C114" s="9" t="s">
        <v>93</v>
      </c>
      <c r="D114" s="10">
        <v>3449.88</v>
      </c>
    </row>
    <row r="115" spans="1:4">
      <c r="A115" s="9" t="s">
        <v>6</v>
      </c>
      <c r="B115" s="9" t="s">
        <v>6</v>
      </c>
      <c r="C115" s="9" t="s">
        <v>113</v>
      </c>
      <c r="D115" s="10">
        <v>116934.18</v>
      </c>
    </row>
    <row r="116" spans="1:4">
      <c r="A116" s="9" t="s">
        <v>6</v>
      </c>
      <c r="B116" s="9" t="s">
        <v>23</v>
      </c>
      <c r="C116" s="9" t="s">
        <v>140</v>
      </c>
      <c r="D116" s="10">
        <v>-700</v>
      </c>
    </row>
    <row r="117" spans="1:4">
      <c r="A117" s="9" t="s">
        <v>6</v>
      </c>
      <c r="B117" s="9" t="s">
        <v>13</v>
      </c>
      <c r="C117" s="9" t="s">
        <v>53</v>
      </c>
      <c r="D117" s="10">
        <v>2.97</v>
      </c>
    </row>
    <row r="118" spans="1:4">
      <c r="A118" s="9" t="s">
        <v>6</v>
      </c>
      <c r="B118" s="9" t="s">
        <v>11</v>
      </c>
      <c r="C118" s="9" t="s">
        <v>82</v>
      </c>
      <c r="D118" s="10">
        <v>-2500</v>
      </c>
    </row>
    <row r="119" spans="1:4">
      <c r="A119" s="9" t="s">
        <v>6</v>
      </c>
      <c r="B119" s="9" t="s">
        <v>6</v>
      </c>
      <c r="C119" s="9" t="s">
        <v>83</v>
      </c>
      <c r="D119" s="10">
        <v>-2000</v>
      </c>
    </row>
    <row r="120" spans="1:4">
      <c r="A120" s="9" t="s">
        <v>6</v>
      </c>
      <c r="B120" s="9" t="s">
        <v>6</v>
      </c>
      <c r="C120" s="9" t="s">
        <v>84</v>
      </c>
      <c r="D120" s="10">
        <v>-2336.63</v>
      </c>
    </row>
    <row r="121" spans="1:4">
      <c r="A121" s="9" t="s">
        <v>6</v>
      </c>
      <c r="B121" s="9" t="s">
        <v>30</v>
      </c>
      <c r="C121" s="9" t="s">
        <v>85</v>
      </c>
      <c r="D121" s="10">
        <v>-5217.8100000000004</v>
      </c>
    </row>
    <row r="122" spans="1:4">
      <c r="A122" s="9" t="s">
        <v>6</v>
      </c>
      <c r="B122" s="9" t="s">
        <v>8</v>
      </c>
      <c r="C122" s="9" t="s">
        <v>141</v>
      </c>
      <c r="D122" s="10">
        <v>-41.06</v>
      </c>
    </row>
    <row r="123" spans="1:4" ht="17">
      <c r="A123" s="9"/>
      <c r="B123" s="9"/>
      <c r="C123" s="11" t="s">
        <v>54</v>
      </c>
      <c r="D123" s="12">
        <f>SUM(D114:D115)+D117</f>
        <v>120387.03</v>
      </c>
    </row>
    <row r="124" spans="1:4" ht="17">
      <c r="A124" s="9"/>
      <c r="B124" s="9"/>
      <c r="C124" s="13" t="s">
        <v>55</v>
      </c>
      <c r="D124" s="14">
        <f>SUM(D59:D113)+SUM(D118:D122)+D116</f>
        <v>-116590.98000000003</v>
      </c>
    </row>
    <row r="125" spans="1:4" ht="17">
      <c r="A125" s="9"/>
      <c r="B125" s="9"/>
      <c r="C125" s="15" t="s">
        <v>56</v>
      </c>
      <c r="D125" s="16">
        <f>D123+D124</f>
        <v>3796.0499999999738</v>
      </c>
    </row>
    <row r="126" spans="1:4" ht="20">
      <c r="A126" s="20" t="s">
        <v>40</v>
      </c>
      <c r="B126" s="21"/>
      <c r="C126" s="22"/>
      <c r="D126" s="19">
        <f>SUM(D125+D58+D52+D47+D41+D27)</f>
        <v>30099.469999999972</v>
      </c>
    </row>
  </sheetData>
  <mergeCells count="1">
    <mergeCell ref="A126:C1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148e74-5a47-44cf-b91f-7cd5d8175bbb" xsi:nil="true"/>
    <lcf76f155ced4ddcb4097134ff3c332f xmlns="8ded9401-56c9-4eb9-8fb5-42fff0bb71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4A7580EAD5148B5973CD96D4F7BE9" ma:contentTypeVersion="13" ma:contentTypeDescription="Create a new document." ma:contentTypeScope="" ma:versionID="a741118c57b270ff3fac6991679e99bb">
  <xsd:schema xmlns:xsd="http://www.w3.org/2001/XMLSchema" xmlns:xs="http://www.w3.org/2001/XMLSchema" xmlns:p="http://schemas.microsoft.com/office/2006/metadata/properties" xmlns:ns2="8ded9401-56c9-4eb9-8fb5-42fff0bb7192" xmlns:ns3="20148e74-5a47-44cf-b91f-7cd5d8175bbb" targetNamespace="http://schemas.microsoft.com/office/2006/metadata/properties" ma:root="true" ma:fieldsID="a9ee1abfce2b9c0e8a699738c6ef3b06" ns2:_="" ns3:_="">
    <xsd:import namespace="8ded9401-56c9-4eb9-8fb5-42fff0bb7192"/>
    <xsd:import namespace="20148e74-5a47-44cf-b91f-7cd5d8175b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d9401-56c9-4eb9-8fb5-42fff0bb7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7368727-f9f5-4244-840d-1ab83271f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48e74-5a47-44cf-b91f-7cd5d8175bb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fc9954-b2eb-45f5-aaa5-50cefb88b0b7}" ma:internalName="TaxCatchAll" ma:showField="CatchAllData" ma:web="20148e74-5a47-44cf-b91f-7cd5d8175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7BD55-6E48-4FBC-8390-8CD931A0D610}">
  <ds:schemaRefs>
    <ds:schemaRef ds:uri="http://schemas.microsoft.com/office/2006/metadata/properties"/>
    <ds:schemaRef ds:uri="http://schemas.microsoft.com/office/infopath/2007/PartnerControls"/>
    <ds:schemaRef ds:uri="20148e74-5a47-44cf-b91f-7cd5d8175bbb"/>
    <ds:schemaRef ds:uri="8ded9401-56c9-4eb9-8fb5-42fff0bb7192"/>
  </ds:schemaRefs>
</ds:datastoreItem>
</file>

<file path=customXml/itemProps2.xml><?xml version="1.0" encoding="utf-8"?>
<ds:datastoreItem xmlns:ds="http://schemas.openxmlformats.org/officeDocument/2006/customXml" ds:itemID="{42062241-79C7-46F6-ADC5-F11AFD8FA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d9401-56c9-4eb9-8fb5-42fff0bb7192"/>
    <ds:schemaRef ds:uri="20148e74-5a47-44cf-b91f-7cd5d8175b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88902-2628-4907-A0D5-ECDEAC3568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ABRIL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</dc:creator>
  <cp:keywords/>
  <dc:description/>
  <cp:lastModifiedBy>Diego Pelliser</cp:lastModifiedBy>
  <cp:revision/>
  <dcterms:created xsi:type="dcterms:W3CDTF">2023-04-06T01:54:58Z</dcterms:created>
  <dcterms:modified xsi:type="dcterms:W3CDTF">2026-05-07T17:37:58Z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0x010100B074A7580EAD5148B5973CD96D4F7BE9</vt:lpwstr>
  </property>
  <property fmtid="{D5CDD505-2E9C-101B-9397-08002B2CF9AE}" pid="3" name="MediaServiceImageTags">
    <vt:lpwstr/>
  </property>
</Properties>
</file>
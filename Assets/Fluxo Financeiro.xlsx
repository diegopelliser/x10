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egopelliser/Documents/Projetos VS Code/Financeiro X10/Assets/"/>
    </mc:Choice>
  </mc:AlternateContent>
  <xr:revisionPtr revIDLastSave="0" documentId="13_ncr:1_{7897272B-A225-064E-A2C8-3FF401D08764}" xr6:coauthVersionLast="47" xr6:coauthVersionMax="47" xr10:uidLastSave="{00000000-0000-0000-0000-000000000000}"/>
  <bookViews>
    <workbookView xWindow="30240" yWindow="3200" windowWidth="22040" windowHeight="14240" activeTab="3" xr2:uid="{12618E56-0401-45C6-9C3A-C6BED602E73C}"/>
  </bookViews>
  <sheets>
    <sheet name="2023" sheetId="1" state="hidden" r:id="rId1"/>
    <sheet name="2024" sheetId="2" state="hidden" r:id="rId2"/>
    <sheet name="2025" sheetId="3" state="hidden" r:id="rId3"/>
    <sheet name="Setembro" sheetId="6" r:id="rId4"/>
    <sheet name="Outubro" sheetId="5" r:id="rId5"/>
    <sheet name="Novembro" sheetId="7" r:id="rId6"/>
    <sheet name="DEZEMBRO 2025" sheetId="8" r:id="rId7"/>
    <sheet name="JANEIRO 2026" sheetId="9" r:id="rId8"/>
    <sheet name="FEVEREIRO 2026" sheetId="10" r:id="rId9"/>
    <sheet name="MARÇO 2026" sheetId="11" r:id="rId10"/>
    <sheet name="2025 Centro de Custos" sheetId="4" r:id="rId11"/>
  </sheets>
  <definedNames>
    <definedName name="_xlnm._FilterDatabase" localSheetId="5" hidden="1">Novembro!$A$1:$D$1</definedName>
    <definedName name="_xlnm._FilterDatabase" localSheetId="4" hidden="1">Outubro!$A$1:$D$133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7" i="11" l="1"/>
  <c r="D129" i="11" s="1"/>
  <c r="E121" i="6"/>
  <c r="D128" i="11"/>
  <c r="D25" i="11"/>
  <c r="D24" i="11"/>
  <c r="E128" i="7"/>
  <c r="D127" i="7"/>
  <c r="D121" i="6"/>
  <c r="D58" i="11" l="1"/>
  <c r="AE7" i="4" s="1"/>
  <c r="AF7" i="4" s="1"/>
  <c r="D57" i="11"/>
  <c r="D53" i="11"/>
  <c r="AE9" i="4" s="1"/>
  <c r="AF9" i="4" s="1"/>
  <c r="D52" i="11"/>
  <c r="D47" i="11"/>
  <c r="AE6" i="4" s="1"/>
  <c r="AF6" i="4" s="1"/>
  <c r="D46" i="11"/>
  <c r="D41" i="11"/>
  <c r="AE5" i="4" s="1"/>
  <c r="AF5" i="4" s="1"/>
  <c r="D40" i="11"/>
  <c r="AE8" i="4"/>
  <c r="AD4" i="4"/>
  <c r="AD8" i="4"/>
  <c r="AF14" i="4"/>
  <c r="AF13" i="4"/>
  <c r="AF12" i="4"/>
  <c r="AF11" i="4"/>
  <c r="AF10" i="4"/>
  <c r="AC9" i="4"/>
  <c r="AC10" i="4"/>
  <c r="AC11" i="4"/>
  <c r="AC12" i="4"/>
  <c r="AC13" i="4"/>
  <c r="AC14" i="4"/>
  <c r="D127" i="10"/>
  <c r="AB4" i="4" s="1"/>
  <c r="D126" i="10"/>
  <c r="D128" i="10" s="1"/>
  <c r="D57" i="10"/>
  <c r="AB7" i="4" s="1"/>
  <c r="D56" i="10"/>
  <c r="D58" i="10" s="1"/>
  <c r="D50" i="10"/>
  <c r="D51" i="10" s="1"/>
  <c r="D49" i="10"/>
  <c r="AA6" i="4" s="1"/>
  <c r="D43" i="10"/>
  <c r="D42" i="10"/>
  <c r="AA5" i="4" s="1"/>
  <c r="D27" i="10"/>
  <c r="AB8" i="4" s="1"/>
  <c r="D26" i="10"/>
  <c r="AA8" i="4" s="1"/>
  <c r="K10" i="4"/>
  <c r="N10" i="4"/>
  <c r="Q10" i="4"/>
  <c r="T10" i="4"/>
  <c r="W10" i="4"/>
  <c r="Z10" i="4"/>
  <c r="Y6" i="4"/>
  <c r="Y5" i="4"/>
  <c r="Y4" i="4"/>
  <c r="Z14" i="4"/>
  <c r="Z13" i="4"/>
  <c r="Z12" i="4"/>
  <c r="Z11" i="4"/>
  <c r="Z9" i="4"/>
  <c r="D126" i="9"/>
  <c r="D125" i="9"/>
  <c r="D127" i="9" s="1"/>
  <c r="D53" i="9"/>
  <c r="D54" i="9" s="1"/>
  <c r="D52" i="9"/>
  <c r="X7" i="4" s="1"/>
  <c r="D47" i="9"/>
  <c r="D46" i="9"/>
  <c r="X6" i="4" s="1"/>
  <c r="D39" i="9"/>
  <c r="D38" i="9"/>
  <c r="X5" i="4" s="1"/>
  <c r="Z5" i="4" s="1"/>
  <c r="D24" i="9"/>
  <c r="Y8" i="4" s="1"/>
  <c r="D23" i="9"/>
  <c r="D25" i="9" s="1"/>
  <c r="D128" i="8"/>
  <c r="D127" i="8"/>
  <c r="D129" i="8" s="1"/>
  <c r="D53" i="8"/>
  <c r="D50" i="8"/>
  <c r="D46" i="8"/>
  <c r="D45" i="8"/>
  <c r="D47" i="8" s="1"/>
  <c r="D26" i="8"/>
  <c r="D25" i="8"/>
  <c r="D27" i="8" s="1"/>
  <c r="T11" i="4"/>
  <c r="T12" i="4"/>
  <c r="T13" i="4"/>
  <c r="T14" i="4"/>
  <c r="W11" i="4"/>
  <c r="W12" i="4"/>
  <c r="W13" i="4"/>
  <c r="W14" i="4"/>
  <c r="V16" i="4"/>
  <c r="V23" i="4" s="1"/>
  <c r="W9" i="4"/>
  <c r="W8" i="4"/>
  <c r="W7" i="4"/>
  <c r="W6" i="4"/>
  <c r="W5" i="4"/>
  <c r="W4" i="4"/>
  <c r="AC8" i="4" l="1"/>
  <c r="Y7" i="4"/>
  <c r="Z7" i="4" s="1"/>
  <c r="X8" i="4"/>
  <c r="AB6" i="4"/>
  <c r="AC6" i="4" s="1"/>
  <c r="D44" i="10"/>
  <c r="D129" i="10" s="1"/>
  <c r="AA7" i="4"/>
  <c r="AC7" i="4" s="1"/>
  <c r="X4" i="4"/>
  <c r="Z4" i="4" s="1"/>
  <c r="AE4" i="4"/>
  <c r="AE16" i="4" s="1"/>
  <c r="AE23" i="4" s="1"/>
  <c r="AA4" i="4"/>
  <c r="D28" i="10"/>
  <c r="AB5" i="4"/>
  <c r="AC5" i="4" s="1"/>
  <c r="AF8" i="4"/>
  <c r="D26" i="11"/>
  <c r="AD16" i="4"/>
  <c r="AD19" i="4" s="1"/>
  <c r="AD21" i="4" s="1"/>
  <c r="AD23" i="4"/>
  <c r="AC4" i="4"/>
  <c r="Z6" i="4"/>
  <c r="Z8" i="4"/>
  <c r="Y16" i="4"/>
  <c r="Y23" i="4" s="1"/>
  <c r="X16" i="4"/>
  <c r="X19" i="4" s="1"/>
  <c r="X21" i="4" s="1"/>
  <c r="D48" i="9"/>
  <c r="D40" i="9"/>
  <c r="W16" i="4"/>
  <c r="W23" i="4" s="1"/>
  <c r="AF4" i="4" l="1"/>
  <c r="AF16" i="4" s="1"/>
  <c r="AF23" i="4" s="1"/>
  <c r="AA16" i="4"/>
  <c r="AC16" i="4"/>
  <c r="AC23" i="4" s="1"/>
  <c r="AB16" i="4"/>
  <c r="AB23" i="4" s="1"/>
  <c r="Z16" i="4"/>
  <c r="Z23" i="4" s="1"/>
  <c r="D42" i="11"/>
  <c r="D48" i="11" s="1"/>
  <c r="AA19" i="4"/>
  <c r="AA21" i="4" s="1"/>
  <c r="AA23" i="4"/>
  <c r="X23" i="4"/>
  <c r="D126" i="7"/>
  <c r="D107" i="7"/>
  <c r="D108" i="7" s="1"/>
  <c r="D96" i="7"/>
  <c r="D97" i="7" s="1"/>
  <c r="D84" i="7"/>
  <c r="D85" i="7" s="1"/>
  <c r="D76" i="7"/>
  <c r="D77" i="7" s="1"/>
  <c r="D62" i="7"/>
  <c r="D63" i="7" s="1"/>
  <c r="S16" i="4"/>
  <c r="S23" i="4" s="1"/>
  <c r="R16" i="4"/>
  <c r="R23" i="4" s="1"/>
  <c r="T9" i="4"/>
  <c r="T8" i="4"/>
  <c r="T7" i="4"/>
  <c r="T6" i="4"/>
  <c r="T5" i="4"/>
  <c r="T4" i="4"/>
  <c r="E134" i="6"/>
  <c r="F134" i="6" s="1"/>
  <c r="D134" i="6"/>
  <c r="E133" i="6"/>
  <c r="E135" i="6" s="1"/>
  <c r="F135" i="6" s="1"/>
  <c r="D133" i="6"/>
  <c r="D135" i="6" s="1"/>
  <c r="E130" i="6"/>
  <c r="F130" i="6" s="1"/>
  <c r="D130" i="6"/>
  <c r="E129" i="6"/>
  <c r="D129" i="6"/>
  <c r="E126" i="6"/>
  <c r="F126" i="6" s="1"/>
  <c r="D126" i="6"/>
  <c r="E125" i="6"/>
  <c r="D125" i="6"/>
  <c r="D127" i="6" s="1"/>
  <c r="F122" i="6"/>
  <c r="E122" i="6"/>
  <c r="E123" i="6" s="1"/>
  <c r="F123" i="6" s="1"/>
  <c r="D122" i="6"/>
  <c r="E120" i="6"/>
  <c r="D120" i="6"/>
  <c r="E104" i="6"/>
  <c r="D104" i="6"/>
  <c r="E94" i="6"/>
  <c r="D94" i="6"/>
  <c r="E85" i="6"/>
  <c r="D85" i="6"/>
  <c r="E76" i="6"/>
  <c r="D76" i="6"/>
  <c r="E17" i="6"/>
  <c r="D17" i="6"/>
  <c r="E127" i="6" l="1"/>
  <c r="F127" i="6" s="1"/>
  <c r="D123" i="6"/>
  <c r="D131" i="6"/>
  <c r="E131" i="6"/>
  <c r="F131" i="6" s="1"/>
  <c r="D54" i="11"/>
  <c r="T16" i="4"/>
  <c r="T23" i="4" s="1"/>
  <c r="D131" i="5"/>
  <c r="D119" i="5"/>
  <c r="D132" i="5" s="1"/>
  <c r="D117" i="5"/>
  <c r="D118" i="5" s="1"/>
  <c r="D111" i="5"/>
  <c r="D112" i="5" s="1"/>
  <c r="D101" i="5"/>
  <c r="D102" i="5" s="1"/>
  <c r="D91" i="5"/>
  <c r="D32" i="5"/>
  <c r="D92" i="5" s="1"/>
  <c r="D27" i="5"/>
  <c r="D28" i="5" s="1"/>
  <c r="D20" i="5"/>
  <c r="D15" i="5"/>
  <c r="D16" i="5" s="1"/>
  <c r="Q8" i="4"/>
  <c r="P16" i="4"/>
  <c r="P23" i="4" s="1"/>
  <c r="O16" i="4"/>
  <c r="O23" i="4" s="1"/>
  <c r="Q5" i="4"/>
  <c r="Q6" i="4"/>
  <c r="Q7" i="4"/>
  <c r="Q11" i="4"/>
  <c r="Q12" i="4"/>
  <c r="Q13" i="4"/>
  <c r="Q14" i="4"/>
  <c r="Q15" i="4"/>
  <c r="Q9" i="4"/>
  <c r="Q4" i="4"/>
  <c r="N5" i="4"/>
  <c r="N6" i="4"/>
  <c r="N7" i="4"/>
  <c r="N8" i="4"/>
  <c r="J16" i="4"/>
  <c r="K9" i="4"/>
  <c r="K15" i="4"/>
  <c r="K14" i="4"/>
  <c r="K13" i="4"/>
  <c r="K12" i="4"/>
  <c r="K11" i="4"/>
  <c r="K8" i="4"/>
  <c r="K7" i="4"/>
  <c r="K6" i="4"/>
  <c r="K5" i="4"/>
  <c r="K4" i="4"/>
  <c r="M16" i="4"/>
  <c r="M23" i="4" s="1"/>
  <c r="N11" i="4"/>
  <c r="N12" i="4"/>
  <c r="N13" i="4"/>
  <c r="N14" i="4"/>
  <c r="N15" i="4"/>
  <c r="N9" i="4"/>
  <c r="N4" i="4"/>
  <c r="U16" i="4"/>
  <c r="R19" i="4"/>
  <c r="R21" i="4" s="1"/>
  <c r="L16" i="4"/>
  <c r="I16" i="4"/>
  <c r="I19" i="4" s="1"/>
  <c r="I21" i="4" s="1"/>
  <c r="H16" i="4"/>
  <c r="H19" i="4" s="1"/>
  <c r="H21" i="4" s="1"/>
  <c r="G16" i="4"/>
  <c r="G19" i="4" s="1"/>
  <c r="G21" i="4" s="1"/>
  <c r="F16" i="4"/>
  <c r="F19" i="4" s="1"/>
  <c r="F21" i="4" s="1"/>
  <c r="E16" i="4"/>
  <c r="E19" i="4" s="1"/>
  <c r="E21" i="4" s="1"/>
  <c r="D16" i="4"/>
  <c r="D19" i="4" s="1"/>
  <c r="D21" i="4" s="1"/>
  <c r="C16" i="4"/>
  <c r="C19" i="4" s="1"/>
  <c r="C21" i="4" s="1"/>
  <c r="B16" i="4"/>
  <c r="B19" i="4" s="1"/>
  <c r="B21" i="4" s="1"/>
  <c r="D133" i="5" l="1"/>
  <c r="D59" i="11"/>
  <c r="U19" i="4"/>
  <c r="U21" i="4" s="1"/>
  <c r="U23" i="4"/>
  <c r="L19" i="4"/>
  <c r="L21" i="4" s="1"/>
  <c r="L23" i="4"/>
  <c r="Q16" i="4"/>
  <c r="K16" i="4"/>
  <c r="N16" i="4"/>
  <c r="N23" i="4" s="1"/>
  <c r="M15" i="3"/>
  <c r="M18" i="3" s="1"/>
  <c r="M20" i="3" s="1"/>
  <c r="L15" i="3"/>
  <c r="L18" i="3" s="1"/>
  <c r="L20" i="3" s="1"/>
  <c r="K15" i="3"/>
  <c r="K18" i="3" s="1"/>
  <c r="K20" i="3" s="1"/>
  <c r="J15" i="3"/>
  <c r="J18" i="3" s="1"/>
  <c r="J20" i="3" s="1"/>
  <c r="I15" i="3"/>
  <c r="I18" i="3" s="1"/>
  <c r="I20" i="3" s="1"/>
  <c r="H15" i="3"/>
  <c r="H18" i="3" s="1"/>
  <c r="H20" i="3" s="1"/>
  <c r="G15" i="3"/>
  <c r="G18" i="3" s="1"/>
  <c r="G20" i="3" s="1"/>
  <c r="F15" i="3"/>
  <c r="F18" i="3" s="1"/>
  <c r="F20" i="3" s="1"/>
  <c r="E15" i="3"/>
  <c r="E18" i="3" s="1"/>
  <c r="E20" i="3" s="1"/>
  <c r="D15" i="3"/>
  <c r="D18" i="3" s="1"/>
  <c r="D20" i="3" s="1"/>
  <c r="C15" i="3"/>
  <c r="C18" i="3" s="1"/>
  <c r="C20" i="3" s="1"/>
  <c r="B15" i="3"/>
  <c r="B18" i="3" s="1"/>
  <c r="B20" i="3" s="1"/>
  <c r="K17" i="2"/>
  <c r="K20" i="2" s="1"/>
  <c r="K22" i="2" s="1"/>
  <c r="J17" i="2"/>
  <c r="J20" i="2" s="1"/>
  <c r="J22" i="2" s="1"/>
  <c r="I17" i="2"/>
  <c r="I20" i="2" s="1"/>
  <c r="I22" i="2" s="1"/>
  <c r="L17" i="2"/>
  <c r="L20" i="2" s="1"/>
  <c r="L22" i="2" s="1"/>
  <c r="M17" i="2"/>
  <c r="M20" i="2" s="1"/>
  <c r="H17" i="2"/>
  <c r="H20" i="2" s="1"/>
  <c r="H22" i="2" s="1"/>
  <c r="F17" i="2"/>
  <c r="F20" i="2" s="1"/>
  <c r="F22" i="2" s="1"/>
  <c r="G17" i="2"/>
  <c r="G20" i="2" s="1"/>
  <c r="G22" i="2" s="1"/>
  <c r="E17" i="2"/>
  <c r="D17" i="2"/>
  <c r="D20" i="2" s="1"/>
  <c r="D22" i="2" s="1"/>
  <c r="C14" i="2"/>
  <c r="C17" i="2" s="1"/>
  <c r="B14" i="2"/>
  <c r="B17" i="2" s="1"/>
  <c r="N11" i="1"/>
  <c r="N17" i="1" s="1"/>
  <c r="L11" i="1"/>
  <c r="L14" i="1" s="1"/>
  <c r="L16" i="1" s="1"/>
  <c r="C11" i="1"/>
  <c r="C14" i="1" s="1"/>
  <c r="C16" i="1" s="1"/>
  <c r="D11" i="1"/>
  <c r="D14" i="1" s="1"/>
  <c r="D16" i="1" s="1"/>
  <c r="E11" i="1"/>
  <c r="E14" i="1" s="1"/>
  <c r="E16" i="1" s="1"/>
  <c r="F11" i="1"/>
  <c r="F14" i="1" s="1"/>
  <c r="F16" i="1" s="1"/>
  <c r="G11" i="1"/>
  <c r="G14" i="1" s="1"/>
  <c r="G16" i="1" s="1"/>
  <c r="H11" i="1"/>
  <c r="H14" i="1" s="1"/>
  <c r="H16" i="1" s="1"/>
  <c r="I11" i="1"/>
  <c r="J11" i="1"/>
  <c r="J14" i="1" s="1"/>
  <c r="J16" i="1" s="1"/>
  <c r="K11" i="1"/>
  <c r="K17" i="1" s="1"/>
  <c r="M11" i="1"/>
  <c r="M17" i="1" s="1"/>
  <c r="B11" i="1"/>
  <c r="B14" i="1" s="1"/>
  <c r="B16" i="1" s="1"/>
  <c r="Q19" i="4" l="1"/>
  <c r="Q21" i="4" s="1"/>
  <c r="Q23" i="4"/>
  <c r="M22" i="2"/>
  <c r="E20" i="2"/>
  <c r="E22" i="2" s="1"/>
  <c r="C20" i="2"/>
  <c r="C22" i="2" s="1"/>
  <c r="N14" i="1"/>
  <c r="N16" i="1" s="1"/>
  <c r="B20" i="2"/>
  <c r="B22" i="2" s="1"/>
  <c r="I14" i="1"/>
  <c r="I16" i="1" s="1"/>
  <c r="M14" i="1"/>
  <c r="M16" i="1" s="1"/>
  <c r="B17" i="1"/>
  <c r="D17" i="1"/>
  <c r="C17" i="1"/>
  <c r="L17" i="1"/>
  <c r="F17" i="1"/>
  <c r="E17" i="1"/>
  <c r="K14" i="1"/>
  <c r="K16" i="1" s="1"/>
  <c r="J17" i="1"/>
  <c r="I17" i="1"/>
  <c r="H17" i="1"/>
  <c r="G17" i="1"/>
</calcChain>
</file>

<file path=xl/sharedStrings.xml><?xml version="1.0" encoding="utf-8"?>
<sst xmlns="http://schemas.openxmlformats.org/spreadsheetml/2006/main" count="2639" uniqueCount="492">
  <si>
    <t>X10 AAI</t>
  </si>
  <si>
    <t>Banking</t>
  </si>
  <si>
    <t>ITA</t>
  </si>
  <si>
    <t>TOTAL:</t>
  </si>
  <si>
    <t>Incentivos Contrapartida</t>
  </si>
  <si>
    <t>Incentivos Livres</t>
  </si>
  <si>
    <t>TOTAL C/ Incentivos</t>
  </si>
  <si>
    <t>PL</t>
  </si>
  <si>
    <t xml:space="preserve">ROA </t>
  </si>
  <si>
    <t>ROA Operacional</t>
  </si>
  <si>
    <t>Previdencia ICATU</t>
  </si>
  <si>
    <t>Previdencia BTG</t>
  </si>
  <si>
    <t>Seguros Omint</t>
  </si>
  <si>
    <t>Seguros MAG</t>
  </si>
  <si>
    <t>Seguros METLIFE</t>
  </si>
  <si>
    <t>Bonus Incentivo</t>
  </si>
  <si>
    <t>Janeiro 2024 (fechamento 31/12/23)</t>
  </si>
  <si>
    <t>fechamento 30/11/2023</t>
  </si>
  <si>
    <t>CAPTAL</t>
  </si>
  <si>
    <t>Mês fechamento</t>
  </si>
  <si>
    <t>SANTANDER</t>
  </si>
  <si>
    <t>ÂNCORA</t>
  </si>
  <si>
    <t>Amarelo</t>
  </si>
  <si>
    <t>Faturado</t>
  </si>
  <si>
    <t>Pago</t>
  </si>
  <si>
    <t>Cinza</t>
  </si>
  <si>
    <t>Branco</t>
  </si>
  <si>
    <t>Pendente</t>
  </si>
  <si>
    <t>Frente Corretora</t>
  </si>
  <si>
    <t>FRANQ</t>
  </si>
  <si>
    <t>ITA (USD tr)</t>
  </si>
  <si>
    <t>Seguros</t>
  </si>
  <si>
    <t>Previdencia</t>
  </si>
  <si>
    <t>X10 AI</t>
  </si>
  <si>
    <t>Consórcios</t>
  </si>
  <si>
    <t>Corban</t>
  </si>
  <si>
    <t>V&amp;P</t>
  </si>
  <si>
    <t>POA</t>
  </si>
  <si>
    <t>QUANTUM</t>
  </si>
  <si>
    <t>Faturamento</t>
  </si>
  <si>
    <t>Despesas</t>
  </si>
  <si>
    <t>Saldo</t>
  </si>
  <si>
    <t>Imobiliario</t>
  </si>
  <si>
    <t>Fechamento de Mês</t>
  </si>
  <si>
    <t>Centro de custo</t>
  </si>
  <si>
    <t>Categoria</t>
  </si>
  <si>
    <t>Nome do cliente ou fornecedor</t>
  </si>
  <si>
    <t>Valor baixado (líquido)</t>
  </si>
  <si>
    <t>Robôs Quantum</t>
  </si>
  <si>
    <t>Receitas de Serviços</t>
  </si>
  <si>
    <t>Clientes Quantum</t>
  </si>
  <si>
    <t/>
  </si>
  <si>
    <t>Tarifas</t>
  </si>
  <si>
    <t>LASTLINK</t>
  </si>
  <si>
    <t>Devoluções por Cancelamento</t>
  </si>
  <si>
    <t>Comissões de Vendedores</t>
  </si>
  <si>
    <t>Victor De Lima Pinto</t>
  </si>
  <si>
    <t>Diego Collaziol</t>
  </si>
  <si>
    <t>Daniel Louis</t>
  </si>
  <si>
    <t>Andrei Cousseau</t>
  </si>
  <si>
    <t>Anderson Lopes de Souza</t>
  </si>
  <si>
    <t>Danrlei Mallabarba</t>
  </si>
  <si>
    <t>Lucas Bavaresco</t>
  </si>
  <si>
    <t>Cesar Alberto Guarnieri Junior</t>
  </si>
  <si>
    <t>Leonardo Berteli Piveta</t>
  </si>
  <si>
    <t>Software / Licença de Uso</t>
  </si>
  <si>
    <t>JAX INVESTIMENTOS</t>
  </si>
  <si>
    <t>TOTAL SAIDAS</t>
  </si>
  <si>
    <t>SALDO QUANTUM</t>
  </si>
  <si>
    <t>Santander Consórcios</t>
  </si>
  <si>
    <t>(em branco)</t>
  </si>
  <si>
    <t>Banco BTG Pactual</t>
  </si>
  <si>
    <t>TOTAL ENTRADAS</t>
  </si>
  <si>
    <t>Impostos retidos em vendas</t>
  </si>
  <si>
    <t>Cursos e Treinamentos</t>
  </si>
  <si>
    <t>CURSOS E TREINAMENTOS EM GERAL</t>
  </si>
  <si>
    <t>Tarifas Bancárias</t>
  </si>
  <si>
    <t>Santander</t>
  </si>
  <si>
    <t>Maicon Jonathan</t>
  </si>
  <si>
    <t>Salários</t>
  </si>
  <si>
    <t xml:space="preserve">SALDO CONSORCIOS </t>
  </si>
  <si>
    <t>X10 Assessoria de Investimentos</t>
  </si>
  <si>
    <t>Premiações</t>
  </si>
  <si>
    <t>Rendimentos de Aplicações</t>
  </si>
  <si>
    <t>X10 Investimentos</t>
  </si>
  <si>
    <t>Exames Médicos</t>
  </si>
  <si>
    <t>MASTERPLAN LTDA</t>
  </si>
  <si>
    <t>Honorários (outros)</t>
  </si>
  <si>
    <t>APEME</t>
  </si>
  <si>
    <t>CIC Garibaldi</t>
  </si>
  <si>
    <t>FGTS e Multa de FGTS</t>
  </si>
  <si>
    <t>Governo Federal</t>
  </si>
  <si>
    <t>INSS sobre Salários - GPS</t>
  </si>
  <si>
    <t>Viagens e Representações</t>
  </si>
  <si>
    <t>Outras Imobilizações por Aquisição</t>
  </si>
  <si>
    <t>MAGAZINE LUIZA</t>
  </si>
  <si>
    <t>Mercado Livre</t>
  </si>
  <si>
    <t>CAPCUT</t>
  </si>
  <si>
    <t>Lanches e Refeições</t>
  </si>
  <si>
    <t>Cairu</t>
  </si>
  <si>
    <t>Delícias e Sabores</t>
  </si>
  <si>
    <t>Octavio Zandonai Cia</t>
  </si>
  <si>
    <t>Materiais de Uso e Consumo</t>
  </si>
  <si>
    <t>Anderson Cousseau</t>
  </si>
  <si>
    <t>Condomínio</t>
  </si>
  <si>
    <t>Rubi Central Towers</t>
  </si>
  <si>
    <t>Bens de Pequeno Valor</t>
  </si>
  <si>
    <t>Carrefour</t>
  </si>
  <si>
    <t>ECC Educação</t>
  </si>
  <si>
    <t>Morgana Stefani Mattei</t>
  </si>
  <si>
    <t>Remuneração de Estagiários</t>
  </si>
  <si>
    <t>RH TALENTOS AGENCIA E SERVICOS LTDA</t>
  </si>
  <si>
    <t>Pedro Sella Lima</t>
  </si>
  <si>
    <t>Honorários Contábeis</t>
  </si>
  <si>
    <t>Attivo Assessoria Contabil</t>
  </si>
  <si>
    <t>Materiais de Limpeza e de Higiene</t>
  </si>
  <si>
    <t>Lourdes Terezinha Vieira Teixeira</t>
  </si>
  <si>
    <t>Previdência Privada</t>
  </si>
  <si>
    <t>BTG Pactual Vida e Previdência</t>
  </si>
  <si>
    <t>Energia Elétrica</t>
  </si>
  <si>
    <t>RGE/CPFL</t>
  </si>
  <si>
    <t>Aluguel</t>
  </si>
  <si>
    <t>Everson Paludo</t>
  </si>
  <si>
    <t>Compra</t>
  </si>
  <si>
    <t>MARCELO HENSEL AUDIOVISUAL - ME</t>
  </si>
  <si>
    <t>Simples Nacional - DAS</t>
  </si>
  <si>
    <t>Internet e Tecnologia</t>
  </si>
  <si>
    <t>Lappel Papelaria e Inf</t>
  </si>
  <si>
    <t>Canva</t>
  </si>
  <si>
    <t>VIVO</t>
  </si>
  <si>
    <t>Direct Call</t>
  </si>
  <si>
    <t>ADYL NET TELECOM</t>
  </si>
  <si>
    <t>conta Azul</t>
  </si>
  <si>
    <t>OpenAI</t>
  </si>
  <si>
    <t>BHS</t>
  </si>
  <si>
    <t>RD Station</t>
  </si>
  <si>
    <t>Marketing e Publicidade</t>
  </si>
  <si>
    <t>Digital Ocean</t>
  </si>
  <si>
    <t>Facebook</t>
  </si>
  <si>
    <t>ISS sobre Faturamento</t>
  </si>
  <si>
    <t>PREFEITURA MUNICIPAL DE GARIBALDI</t>
  </si>
  <si>
    <t>Confraternizações</t>
  </si>
  <si>
    <t>Champagneria Garibaldi Ltda</t>
  </si>
  <si>
    <t>Pró-labore</t>
  </si>
  <si>
    <t>RR Placas de Premiações</t>
  </si>
  <si>
    <t>IRPJ / CSLL Trimestral</t>
  </si>
  <si>
    <t>SALDO X10 AAI</t>
  </si>
  <si>
    <t>SALDO CORBAN</t>
  </si>
  <si>
    <t>Vida e Previdência</t>
  </si>
  <si>
    <t>FRANQ TECNOLOGIA SA</t>
  </si>
  <si>
    <t>SALDO V&amp;P</t>
  </si>
  <si>
    <t>Imobiliário</t>
  </si>
  <si>
    <t>CAPTAL INVESTIMENTOS</t>
  </si>
  <si>
    <t>SALDO IMOBILIÁRIO</t>
  </si>
  <si>
    <t>AI Inv POA</t>
  </si>
  <si>
    <t>Diversos Cesar</t>
  </si>
  <si>
    <t>Móveis, Utensílios e Instalações Comerciais</t>
  </si>
  <si>
    <t>Marmoraria Borguetto ltda</t>
  </si>
  <si>
    <t>Leroy Merlin</t>
  </si>
  <si>
    <t>Setis Comunicação Visual</t>
  </si>
  <si>
    <t>Móveis, Utensílios e Instalações Administrativos</t>
  </si>
  <si>
    <t>Diversos</t>
  </si>
  <si>
    <t>CREDITO REAL S/A</t>
  </si>
  <si>
    <t>SALDO POA</t>
  </si>
  <si>
    <t>Total geral</t>
  </si>
  <si>
    <t>Valor</t>
  </si>
  <si>
    <t xml:space="preserve">TOTAL </t>
  </si>
  <si>
    <t>SIZA DISTRIBUIDOR DE EMBALAGENS</t>
  </si>
  <si>
    <t>Manutenção de Equipamentos</t>
  </si>
  <si>
    <t>AEL COMERCIO DE TINTAS LTDA</t>
  </si>
  <si>
    <t>Confraternização</t>
  </si>
  <si>
    <t>Wamer Instalações Ltda (Ar condicionado)</t>
  </si>
  <si>
    <t>Ferragem Conzatti</t>
  </si>
  <si>
    <t>Resimini materiais de construção</t>
  </si>
  <si>
    <t>Casas Bahia</t>
  </si>
  <si>
    <t>Hostinger Hospedagem</t>
  </si>
  <si>
    <t>Marcelo Hensel</t>
  </si>
  <si>
    <t>Vale-Alimentação</t>
  </si>
  <si>
    <t>BTG Pactual Corretora de Seguros</t>
  </si>
  <si>
    <t>FRANQ CORRETORA DE SEGUROS E PREVIDENCIA</t>
  </si>
  <si>
    <t>SERVIÇOS DE LIMPEZA</t>
  </si>
  <si>
    <t>Honorários Consultoria</t>
  </si>
  <si>
    <t>Pauline Mombach</t>
  </si>
  <si>
    <t>Encanadores Diversos</t>
  </si>
  <si>
    <t>Frigelar Comercio E Industria Ltda</t>
  </si>
  <si>
    <t>ACCEL COMERCIAL ELETRICA EIRELI</t>
  </si>
  <si>
    <t>Faturamento Geral</t>
  </si>
  <si>
    <t>Despesas Geral</t>
  </si>
  <si>
    <t>Resultado Geral</t>
  </si>
  <si>
    <t>Faturamento Garibaldi</t>
  </si>
  <si>
    <t>Despesas Garibaldi</t>
  </si>
  <si>
    <t>Resultado Garibaldi</t>
  </si>
  <si>
    <t>Faturamento POA</t>
  </si>
  <si>
    <t>Despesas POA</t>
  </si>
  <si>
    <t>Resultado POA</t>
  </si>
  <si>
    <t>Faturamento Garibaldi sem Quantum</t>
  </si>
  <si>
    <t>Despesas Garibaldi sem Quantum</t>
  </si>
  <si>
    <t>Resultado Garibaldi sem Quantum</t>
  </si>
  <si>
    <t>Materiais de Escritório</t>
  </si>
  <si>
    <t>SONAX</t>
  </si>
  <si>
    <t>Ongarato Materiais Elétricos e Hidráulicos</t>
  </si>
  <si>
    <t>Armazém da Limpeza</t>
  </si>
  <si>
    <t>13º Salário - 1ª Parcela</t>
  </si>
  <si>
    <t>Thais da Silveira Freitas</t>
  </si>
  <si>
    <t>One</t>
  </si>
  <si>
    <t>TOTAL DESPESAS:</t>
  </si>
  <si>
    <t>RESULTADO FINAL:</t>
  </si>
  <si>
    <t>RODOBENS ADMINISTRADORA DE CON</t>
  </si>
  <si>
    <t>FRANQ - FAZZ CORRETORA DE SEGUROS E PREVIDENCIA</t>
  </si>
  <si>
    <t>Investimentos</t>
  </si>
  <si>
    <t>CONSORCIOS SERVOPA</t>
  </si>
  <si>
    <t>Cassol</t>
  </si>
  <si>
    <t>RESULTADO SEM O QUANTUM</t>
  </si>
  <si>
    <t>Descrição da parcela</t>
  </si>
  <si>
    <t>Aluguel Poa</t>
  </si>
  <si>
    <t>cadeiras Poa 4/10</t>
  </si>
  <si>
    <t>Cassol compras escritório POA (xicaras etc) 2/10</t>
  </si>
  <si>
    <t>Compras iniciais escritório POA (lixeira, etc) 3/8</t>
  </si>
  <si>
    <t>Microondas POA 2/10</t>
  </si>
  <si>
    <t>Purificado de Água POA 3/10</t>
  </si>
  <si>
    <t>TV nova Escritório POA (uma compra, duas faturas) 3/10</t>
  </si>
  <si>
    <t>COMISSÃO CORBAN LUCAS</t>
  </si>
  <si>
    <t>COMISSÕES V&amp;P</t>
  </si>
  <si>
    <t>CORBAN CESAR</t>
  </si>
  <si>
    <t>ENERGIA ELETRICA ESCRITORIO POA</t>
  </si>
  <si>
    <t>TAXA DE ABERTURA DA FILIAL DE POA</t>
  </si>
  <si>
    <t>INTERNET DA VIVO DO ESCRITORIO DE POA</t>
  </si>
  <si>
    <t>COMPRA DE AR CONDICIONADO PARA POA EM 8X CARTÃO DIEGO</t>
  </si>
  <si>
    <t>Mobiliario Porto Alegre GebWork 5/6</t>
  </si>
  <si>
    <t>50% FINAL DOS MARMORES DE POA, DIVIDIDO EM 3 PARCELAS</t>
  </si>
  <si>
    <t>Pró Labore para Lucas Ogliari Bavaresco</t>
  </si>
  <si>
    <t>Salario Cesar Alberto Guarnieri Junior</t>
  </si>
  <si>
    <t>RECEBIMENTO DAS COMISSÕES V &amp; P</t>
  </si>
  <si>
    <t>Venda 88 (COMISSÃO AI REF NOVEMBRO 2025)</t>
  </si>
  <si>
    <t>Venda 89 (CORBAN REF NOVEMBRO 2025)</t>
  </si>
  <si>
    <t>Valor de Rendimento Remunera+</t>
  </si>
  <si>
    <t>Estorno do Valor de Rendimento</t>
  </si>
  <si>
    <t>RECEITA TOTAL:</t>
  </si>
  <si>
    <t>DESPESAS TOTAL:</t>
  </si>
  <si>
    <t>SALDO FINAL:</t>
  </si>
  <si>
    <t>10% Extra de comissão sobre as vendas, por ter passado de 1M de vendas no mes de outubro (Venda do Elisael Andrade RodoBens)</t>
  </si>
  <si>
    <t>COMISSÃO CONSORCIOS</t>
  </si>
  <si>
    <t>COMISSÕES NEWCON</t>
  </si>
  <si>
    <t>COMISSÕES RODOBENS</t>
  </si>
  <si>
    <t>COMISSÕES SERVOPA</t>
  </si>
  <si>
    <t>COMISSÕS FRANQ</t>
  </si>
  <si>
    <t>COMISSÕS SERVOPA</t>
  </si>
  <si>
    <t>CONSORCIO SERVOPA</t>
  </si>
  <si>
    <t>SERVOPA</t>
  </si>
  <si>
    <t>Férias</t>
  </si>
  <si>
    <t>7,5 DIAS DE FERIAS MAIS 33%</t>
  </si>
  <si>
    <t>COMISSÃO RODOBENS REF NOV 2025</t>
  </si>
  <si>
    <t>COMISSÕES DA NEWCOM DE VARIOS MESES QUE ESTAVA LIBERADO</t>
  </si>
  <si>
    <t>RECEBIMENTO COMISSÕES  SERVOPA ADMINISTRADORA DE CONSORCIOS LTD</t>
  </si>
  <si>
    <t>RECEBIMENTO DA COMISSÃO DOS CONSORCIOS SERVOPA PRIMEIRA NOTA REF A OUTUBRO</t>
  </si>
  <si>
    <t>RECEBIMENTO DAS COMISSÕES DOS SEGUROS FRANQ</t>
  </si>
  <si>
    <t>Salario Ref ao Mês Trabalhado</t>
  </si>
  <si>
    <t>TARIFA MANUTENÇÃO DA CONTA</t>
  </si>
  <si>
    <t>CORBAN</t>
  </si>
  <si>
    <t>V &amp; P</t>
  </si>
  <si>
    <t>13º Salário - 2ª Parcela</t>
  </si>
  <si>
    <t>SEGUNDA PARCELA DO DECIMO TERCEIRO</t>
  </si>
  <si>
    <t>Aluguel X10 Março 2025</t>
  </si>
  <si>
    <t>Ar Condicionado X10 10x 6/10</t>
  </si>
  <si>
    <t>cadeiras escritório - Diego e Anderson 6/6</t>
  </si>
  <si>
    <t>Cafeteira escritório GDI 3/6</t>
  </si>
  <si>
    <t>Ferragem CONZATI + POSTINGHER</t>
  </si>
  <si>
    <t>COMISSÃO DE 50% DAS OFERTA BTG</t>
  </si>
  <si>
    <t>Comissão para Daniel Louis</t>
  </si>
  <si>
    <t>Comissões  AI</t>
  </si>
  <si>
    <t>INCENTIVO ATP</t>
  </si>
  <si>
    <t>PREMIAÇÃO 50% OFERTA BTG</t>
  </si>
  <si>
    <t>PREMIAÇÕES VICTOR</t>
  </si>
  <si>
    <t>SALARIO REF. AO MES TRABALHADO</t>
  </si>
  <si>
    <t>Compra de serviço Série:SN / NFS-e:2500000000763 (MENSALIDADE EXTRA ANUAL)</t>
  </si>
  <si>
    <t>Compra de serviço Série:SN / NFS-e:2500000018124</t>
  </si>
  <si>
    <t>Compra de serviço Série:SN / NFS-e:2500000075907</t>
  </si>
  <si>
    <t>Compra de serviço Série:SN / NFS-e:27 (MENSALIDADE REF. A NOVEMBRO)</t>
  </si>
  <si>
    <t>Condomínio da Sala Comercial</t>
  </si>
  <si>
    <t>JANTA DE ENCERRAMENTO DO ANO DA X10</t>
  </si>
  <si>
    <t>2 ENCONTROS BNI</t>
  </si>
  <si>
    <t>Curso BNI do Leo em 12x Cartão Leo</t>
  </si>
  <si>
    <t>Curso Consórcios 4/12</t>
  </si>
  <si>
    <t>G4 PASSE VITALICIO QUE O DIEGO COMPROU EM 12X NO CARTÃO DELE</t>
  </si>
  <si>
    <t>PASSAGENS B2B NECTON QUE O LEO COMPROU</t>
  </si>
  <si>
    <t>Plano de Medicina Ocupacional</t>
  </si>
  <si>
    <t>18 DIAS DE FERIAS VICTOR</t>
  </si>
  <si>
    <t>24 DIAS DE FERIAS COM INICIO 23/12/2025</t>
  </si>
  <si>
    <t>FGTS DOS COLABORADORES PJ2</t>
  </si>
  <si>
    <t>Convenio Apeme</t>
  </si>
  <si>
    <t>convenio CIC</t>
  </si>
  <si>
    <t>HONORARIO EXTRA ANUAL</t>
  </si>
  <si>
    <t>Honorários contábeis da PJ2</t>
  </si>
  <si>
    <t>Honorários Contabilidade</t>
  </si>
  <si>
    <t>INSS COLABORADORES</t>
  </si>
  <si>
    <t>INSS DECIMO TERCEIRO</t>
  </si>
  <si>
    <t>Canva 12x 6/12</t>
  </si>
  <si>
    <t>Conta Azul Anual 11/12</t>
  </si>
  <si>
    <t>Direct Call (cartão Diego)</t>
  </si>
  <si>
    <t>Mensalidade do plano de Internet</t>
  </si>
  <si>
    <t>OPEN AI</t>
  </si>
  <si>
    <t>RD + RD MKT</t>
  </si>
  <si>
    <t>Vivo</t>
  </si>
  <si>
    <t>Cairu Diversos (CARTÃO DIEGO)</t>
  </si>
  <si>
    <t>Delicias de Garibaldi</t>
  </si>
  <si>
    <t>LANCHE PARA ANIVERSARIO DIEGO (PIX VICTOR)</t>
  </si>
  <si>
    <t>RECARGA FACE GERENCIADOR ANDER ANTES DE SER BANIDO</t>
  </si>
  <si>
    <t>Videos mkt institucional</t>
  </si>
  <si>
    <t>DCO LIMPEZA CARTÃO DIEGO</t>
  </si>
  <si>
    <t>Limpeza 2x Semana</t>
  </si>
  <si>
    <t>COMPRAS DIVERSAS PARA OS KIT DE PRESENTE DE FINAL DE ANO, DANRLEI QUE COMPROU</t>
  </si>
  <si>
    <t>ESPUMANTES COMPRADOS DO DANIEL RADAVELI PARA PRESENTES DE FINAL DE ANO</t>
  </si>
  <si>
    <t>Magalu ver compra 2/7</t>
  </si>
  <si>
    <t>Vida e Previdências colaboradores</t>
  </si>
  <si>
    <t>Pró Labore Leonardo Berteli Piveta</t>
  </si>
  <si>
    <t>Pró Labore para Andrei Cousseau</t>
  </si>
  <si>
    <t>Pró Labore para Diego Collaziol</t>
  </si>
  <si>
    <t>Venda 90 (ATP LUCAS TARGET 3)</t>
  </si>
  <si>
    <t>Venda 91 (ATP CESAR TARGET 2)</t>
  </si>
  <si>
    <t>Estagio Pedro</t>
  </si>
  <si>
    <t>HONORARIOS ESTAGIO PEDRO</t>
  </si>
  <si>
    <t>Salario Fixo</t>
  </si>
  <si>
    <t>Salario Ref. ao Mês trabalhado</t>
  </si>
  <si>
    <t>SALARIO REF. AO MES TRABALHADO 1682,05 FOLHA + 176,62 COMPLEMENTO FORA FOLHA</t>
  </si>
  <si>
    <t>SALARIO VICTOR</t>
  </si>
  <si>
    <t>GUIA DO SIMPLES PJ2</t>
  </si>
  <si>
    <t>Htm*maicon Ramos 12x (robo de noticias 6/12</t>
  </si>
  <si>
    <t>Jacksparrow 12x 6/12</t>
  </si>
  <si>
    <t>cadeiras Poa 5/10</t>
  </si>
  <si>
    <t>Cassol compras escritório POA (xicaras etc) 3/10</t>
  </si>
  <si>
    <t>Compras iniciais escritório POA (lixeira, etc) 4/8</t>
  </si>
  <si>
    <t>Microondas POA 3/10</t>
  </si>
  <si>
    <t>Purificado de Água POA 4/10</t>
  </si>
  <si>
    <t>TV nova Escritório POA (uma compra, duas faturas) 4/10</t>
  </si>
  <si>
    <t>SERVIÇO DE LIMPEZA DA SALA DE POA</t>
  </si>
  <si>
    <t>Mobiliario Porto Alegre GebWork 6/6</t>
  </si>
  <si>
    <t>Pró Labore para Lucas Ogliari Bavaresco REF. 08/2025</t>
  </si>
  <si>
    <t>Venda 92 (COMISSÃO AI )</t>
  </si>
  <si>
    <t>Venda 93 (CORBAN)</t>
  </si>
  <si>
    <t>PREMIAÇÃO POR TER CHEGO EM 3 MILHOES DE CONSORCIO EM 2025</t>
  </si>
  <si>
    <t>9 CARTAS DE CONSORCIOS DE 110 MIL CADA UMA</t>
  </si>
  <si>
    <t>COMISSÃO DAS VENDAS DOS CONSORCIOS SERVOPA</t>
  </si>
  <si>
    <t>COMISSÕES RECEBIDAS DA FRANQ TECNOLOGIA SA</t>
  </si>
  <si>
    <t>RECEBIMENTO DAS COMISSÕES RODOBENS</t>
  </si>
  <si>
    <t>Salario Ref 18 Dias Trabalhados em Dezembro</t>
  </si>
  <si>
    <t>Tarifa Manutencao Conta Corrente 23/01/2026</t>
  </si>
  <si>
    <t>FINANCIAMENTO VENDIDO PELA FRANQ</t>
  </si>
  <si>
    <t>Royalties pagos a Franq</t>
  </si>
  <si>
    <t>Ar Condicionado X10 10x 7/10</t>
  </si>
  <si>
    <t>Cafeteira escritório GDI 4/6</t>
  </si>
  <si>
    <t>INCENTIVO ATP SERIA 2 MIL A ULTIMA PARCELA, MAS FOI DESCONTADO 1500 REF AOS 15% DE IMPOSTO</t>
  </si>
  <si>
    <t>PREMIAÇÃO POR TER FICADO EM PRIMEIRO EM NNM EM DEZEMBRO, CESTA DE FINAL DE ANO</t>
  </si>
  <si>
    <t>PREMIAÇÃO POR TER FICADO EM SEGUNDO  EM NNM EM DEZEMBRO, CESTA DE FINAL DE ANO</t>
  </si>
  <si>
    <t>Compra de serviço Série:1 / NFS-e:1515 (SONAX)</t>
  </si>
  <si>
    <t>Compra de serviço Série:1 / NFS-e:2079543 (PASTAS PROPOSTA E FRETE)</t>
  </si>
  <si>
    <t>Compra de serviço Série:1 / NFS-e:6199 (Attivo)</t>
  </si>
  <si>
    <t>Compra de serviço Série:54345 / NFS-e:104284 (BHS EMAILS CORPORATIVOS)</t>
  </si>
  <si>
    <t>Compra de serviço Série:SN / NFS-e:196</t>
  </si>
  <si>
    <t>Compra de serviço Série:SN / NFS-e:7218 (RS STATION)</t>
  </si>
  <si>
    <t>PRESENTES FINAL DE ANO PARA COLABORADORES</t>
  </si>
  <si>
    <t>PRESENTES PARA FINAL DE ANO DOS COLABORADORES (JAVY + CUBO GRAFICA + CASA DEL GRANI + APP)</t>
  </si>
  <si>
    <t>CONSULTORIA EMPRESARIA PARA 2026</t>
  </si>
  <si>
    <t>Curso Consórcios 5/12</t>
  </si>
  <si>
    <t>FGTS DECIMO TERCEIRO</t>
  </si>
  <si>
    <t>FGTS RESCISÃO THAIS</t>
  </si>
  <si>
    <t>PARCELA DO FGTS QUE NÃO FOI PAGA QUANDO ESTAVA SEM CARTEIRA E ELA COBROU ISSO</t>
  </si>
  <si>
    <t>Canva 12x 7/12</t>
  </si>
  <si>
    <t>Conta Azul Anual 12/12</t>
  </si>
  <si>
    <t>RD MKT</t>
  </si>
  <si>
    <t>IRPJ QUARTO TRIMESTRE</t>
  </si>
  <si>
    <t>BNI Daniel Turma Bento 12x</t>
  </si>
  <si>
    <t>ENTRADA DE 50% PARA DESENVOLVIMENTO DO NOVO SITE</t>
  </si>
  <si>
    <t>INVESTIMENTO EM GOOGLE E YOUTUBE ANDREI</t>
  </si>
  <si>
    <t>COMPRA DE CAFES PARA TESTE PARA DIMINUIR CUSTO</t>
  </si>
  <si>
    <t>COMPRA DE PRODUTOS DE LIMPEZA E BANHEIRO</t>
  </si>
  <si>
    <t>COMPRAS DIA A DIA PARA ESCRITORIO</t>
  </si>
  <si>
    <t>FRETE PARA BUSCAR NOTEBOOK NA CASA DA THAIS</t>
  </si>
  <si>
    <t>COMPRA DE CUBA PARA BANHEIRO E MATERIAIS PARA INSTLAAÇÃO NO CARTÃO DO ANDREI EM 2X</t>
  </si>
  <si>
    <t>Magalu ver compra 3/7</t>
  </si>
  <si>
    <t>Pró Labore para Diego Collaziol (DESCONTADO VALOR QUE RECEBEU DA NOVA EMPRESA, NA CONTA DA SABRINA)</t>
  </si>
  <si>
    <t>ENTRADA DOS VALORES RECEBIDOS NA NOVA EMRPESA DO DIEGO (CONTA SABRINA)</t>
  </si>
  <si>
    <t>Estagio Pedro 700,00 Menos os dias de Férias</t>
  </si>
  <si>
    <t>Rescisões</t>
  </si>
  <si>
    <t>Rescisão Thais</t>
  </si>
  <si>
    <t>SALARIO VICTOR MENOS FERIAS</t>
  </si>
  <si>
    <t>Jacksparrow 12x 7/12</t>
  </si>
  <si>
    <t>Aluguel POA</t>
  </si>
  <si>
    <t>cadeiras Poa 6/10</t>
  </si>
  <si>
    <t>Compras iniciais escritório POA (lixeira, etc) 5/8</t>
  </si>
  <si>
    <t>Microondas POA 4/10</t>
  </si>
  <si>
    <t>Purificado de Água POA 5/10</t>
  </si>
  <si>
    <t>TV nova Escritório POA (uma compra, duas faturas) 5/10</t>
  </si>
  <si>
    <t>COMISSÃO RODOBENS LUCAS</t>
  </si>
  <si>
    <t>HOSPEDAGEM DA EQUIPE GDI  EM SÃO PAULO NO EVENTO BTG</t>
  </si>
  <si>
    <t>HOSPEDAGEM LUCAS E CESAR  EM SÃO PAULO NO EVENTO BTG</t>
  </si>
  <si>
    <t>JANTA EM SÃO PAULO EVENTO BTG CESAR E LUCAS</t>
  </si>
  <si>
    <t>JANTA EM SÃO PAULO EVENTO BTG PARA TODA EQUIPE GDI</t>
  </si>
  <si>
    <t>COMISSÃO DA VENDA DOS CONSORCIOS RODOBENS</t>
  </si>
  <si>
    <t>Venda 95 (COMISSÃO AI)</t>
  </si>
  <si>
    <t>Venda 96 (CORBAN DESCONTADO CANCELAMENTO CONSORCIO ANDERSOL LOPES)</t>
  </si>
  <si>
    <t>COMISSÃO CONSORCIOS DAS VENDAS FEITAS E GERADAS PELO MAICON, 2 PARCELAS MATHEUS CORREA  E 1 PARCELA MISAEL</t>
  </si>
  <si>
    <t>COMISSÃO CONSORCIOS SERVOPA</t>
  </si>
  <si>
    <t>Curso Consórcios 6/12</t>
  </si>
  <si>
    <t>COMISSÕES RECEBIDAS DA FRANQ</t>
  </si>
  <si>
    <t>RECEBIDO COMISSÃO NEWCOM</t>
  </si>
  <si>
    <t>Tarifa Manutencao Conta Corrente 23/02/2026</t>
  </si>
  <si>
    <t>ROYALTIES SOBRE AS VENDAS DO MES, MAIOR VENDA FOI DO FINANCIAMENTO VENDIDO PELO DANRLEI</t>
  </si>
  <si>
    <t>V &amp; P + 2 MESES JOSI QUE ESTAVA FORA SISTEMA</t>
  </si>
  <si>
    <t>Ar Condicionado X10 10x 8/10</t>
  </si>
  <si>
    <t>Cafeteira escritório GDI 5/6</t>
  </si>
  <si>
    <t>PREMIAÇÃO DE 300,00 POR CAPTAR 1 M EM JANEIRO e POR TER BATIDO A META PESSOAL DE 1.5 MILHOES</t>
  </si>
  <si>
    <t>PREMIAÇÃO PELAS METAS BATIDAS DO ESCRITORIO NO ANO DE 2025</t>
  </si>
  <si>
    <t>PREMIO 300 META 1 M, 300 META DO MES, 200 PRIMEIRO RANKING, 500, 2 MILHOES</t>
  </si>
  <si>
    <t>PREMIO 300 META 1 MILHÃO DE CAPTAÇÃO , 300 META DO MES</t>
  </si>
  <si>
    <t>Compra de serviço Série:00900 / NFS-e:396 (AWZ)</t>
  </si>
  <si>
    <t>Compra de serviço Série:1 / NFS-e:6364 (ATTIVO)</t>
  </si>
  <si>
    <t>Compra de serviço Série:3 / NFS-e:152610 RD Stantin</t>
  </si>
  <si>
    <t>Compra de serviço Série:3000 / NFS-e:2746704 CONTA AZUL EM 12X CARTÃO DIEGO 1/12</t>
  </si>
  <si>
    <t>Compra de serviço Série:49999 / NFS-e:6 (ALTERAÇÕES CONTRATUAIS E ABERTURA FILIAL POA)</t>
  </si>
  <si>
    <t>Compra de serviço Série:54345 / NFS-e:105709 (BHS EMAILS)</t>
  </si>
  <si>
    <t>Compra de serviço Série:900 / NFS-e:13</t>
  </si>
  <si>
    <t>2 CAFES NO BNI JANEIRO 150  E FEVEREIRO 180  MAIS ESTACIONAMENTO IDA A SÃO PAULO 155,00</t>
  </si>
  <si>
    <t>CUSTOS CARRO ANDREI ATE AEROPORTO PARA IR A SP 250,00 MAIS UBER SP</t>
  </si>
  <si>
    <t>Descontos incondicionais obtidos</t>
  </si>
  <si>
    <t>RESTITUIÇÃO DE IMPOSTOS PAGOS DE NOTAS CANCELADAS</t>
  </si>
  <si>
    <t>Convenio Apeme + Custos com evento do Diego</t>
  </si>
  <si>
    <t>Venda 94 (ATP ANDERSON SOUZA TARGET 1 )</t>
  </si>
  <si>
    <t>Canva 12x 8/12</t>
  </si>
  <si>
    <t>COMPRAS NO MES NA PADARIA 199,17, COMPRAS PARA O EVENTO DIEGO 545,25</t>
  </si>
  <si>
    <t>FACE GASTO NO CARTÃO DO ANDREI PARA IMPULSIONAMENTO ENTRE ALTAS E BAIXA</t>
  </si>
  <si>
    <t>GOOGLE CARTAO ANDREI</t>
  </si>
  <si>
    <t>PATROCINIO LUTADOR DE GARIBALDI ACADEMIA DO LEO MARCOS MAIA ALVES</t>
  </si>
  <si>
    <t>PATROCINIO TIME BOHEMIOS PARA JOGAR O CITADINO, PARCELA 1 DE 2</t>
  </si>
  <si>
    <t>COMPRA DE PAPEL PARA BANHEIRO</t>
  </si>
  <si>
    <t>Magalu ver compra 4/7</t>
  </si>
  <si>
    <t>COMISSÃO AI DIEGO</t>
  </si>
  <si>
    <t>Htm*maicon Ramos 12x (robo de noticias 8/12</t>
  </si>
  <si>
    <t>cadeiras Poa 7/10</t>
  </si>
  <si>
    <t>Compras iniciais escritório POA (lixeira, etc) 6/8</t>
  </si>
  <si>
    <t>Microondas POA 5/10</t>
  </si>
  <si>
    <t>Purificado de Água POA 6/10</t>
  </si>
  <si>
    <t>TV nova Escritório POA (uma compra, duas faturas) 6/10</t>
  </si>
  <si>
    <t>Compra de produto Série:3 / NFS-e:352311</t>
  </si>
  <si>
    <t>CUSTOS NO CARTÃO DIEGO IDA A SP, UBER, ESTACIONAMENTO AEROPORTO E IDA DE GDI A POA COM CARRO</t>
  </si>
  <si>
    <t>COMPRAS GERAIS PARA ESCRITORIO POA, CAFE, PANO ETC</t>
  </si>
  <si>
    <t>Venda 100(COMISSÃO AI</t>
  </si>
  <si>
    <t>Venda 99 (CORBAN)</t>
  </si>
  <si>
    <t>COMISSÃO RODOBENS</t>
  </si>
  <si>
    <t>Curso Consórcios 7/12</t>
  </si>
  <si>
    <t>COMPRA DE CHIP DA VIVO PARA SETOR DE CONSORCIOS</t>
  </si>
  <si>
    <t>COMISSÃO NEWCOM</t>
  </si>
  <si>
    <t>COMISSOES FRANQ</t>
  </si>
  <si>
    <t>COMISSOES RODOBENS</t>
  </si>
  <si>
    <t>COMISSOES SERVOPA</t>
  </si>
  <si>
    <t>Tarifa Manutencao Conta Corrente 23/03/2026</t>
  </si>
  <si>
    <t>COMISSÕES PATAMAR</t>
  </si>
  <si>
    <t>COMISSÕES DE 3 VENDAS DA PATAMAR</t>
  </si>
  <si>
    <t>RECEBIMENTO DA COMISSÃO PATAMAR</t>
  </si>
  <si>
    <t>Ar Condicionado X10 10x 9/10</t>
  </si>
  <si>
    <t>Cafeteira escritório GDI 6/6</t>
  </si>
  <si>
    <t>COMISSÕES AI DIEGO</t>
  </si>
  <si>
    <t>COMISSÕES GESTÃO PATRIMONIAL DIEGO</t>
  </si>
  <si>
    <t>COMPLEMENTO DE SALARIO MINIMO</t>
  </si>
  <si>
    <t>MINIMO GARANTIDO</t>
  </si>
  <si>
    <t>PREMIAÇÃO DA RECEITA EXCEDENTE GERADA NO TRIMESTRE ACIMA DE 30 MIL</t>
  </si>
  <si>
    <t>PREMIO POR BATER META INDIVIDUAL EM FEVEREIRO, CAPTAR MAIS QUE 1 MILHAO E MAIS QUE 2 MILHOES</t>
  </si>
  <si>
    <t>Compra de serviço Série:002 / NFS-e:783 (BOLETO VEIO COM VALOR DIFERENTE DA NOTA, 1300,60</t>
  </si>
  <si>
    <t>Compra de serviço Série:00900 / NFS-e:461</t>
  </si>
  <si>
    <t>Compra de serviço Série:1 / NFS-e:6534</t>
  </si>
  <si>
    <t>Compra de serviço Série:3000 / NFS-e:2746704 CONTA AZUL EM 12X CARTÃO DIEGO 2/12</t>
  </si>
  <si>
    <t>Compra de serviço Série:70000 / NFS-e:6 (ESTAGIO PEDRO)</t>
  </si>
  <si>
    <t>4 CAFES NO BNI MARÇO</t>
  </si>
  <si>
    <t>Canva 12x 9/12</t>
  </si>
  <si>
    <t>COMPRAS NO MES NA PADARIA</t>
  </si>
  <si>
    <t>ANUNCIOS FACE NO CARTÃO DO ANDREI PELA CONTA DE ANUNCIOS ENTRE ALTAS E BAIXAS</t>
  </si>
  <si>
    <t>AUTOMAÇÃO LINKEDIN PARA CAPTAR ASSESSORES</t>
  </si>
  <si>
    <t>Facebook GDI</t>
  </si>
  <si>
    <t>Hostingercomb (SITE X10) (CARTÃO DIEGO)</t>
  </si>
  <si>
    <t>MENSALIDADE AUTOMAÇÃO INSTAGRAM ENTRE ALTAS E BAIXA E X10</t>
  </si>
  <si>
    <t>PATROCINIO TIME BOHEMIOS PARA JOGAR O CITADINO, PARCELA 2 DE 2</t>
  </si>
  <si>
    <t>PATROCINIO TORNEIO DE TENIS (PROFESSOR DO ANDREI)</t>
  </si>
  <si>
    <t>TRAFEGO PAGO YOUTUBE E GOOGLE CARTÃO ANDREI</t>
  </si>
  <si>
    <t>COMPRA DE CAFES MERCADO LIVRE</t>
  </si>
  <si>
    <t>Magalu ver compra 5/7</t>
  </si>
  <si>
    <t>PREMIAÇÃO ANUAL DAS ESTAÇÕES BTG (ENTROU NA CONTA DO ANDREI, DAI FOI ABATIDO DA PREMIAÇÃO DO VALOR EXTRA GERADO NO TRIMESTRE POR ELE E PAGO SÓ A DIFERENÇA)</t>
  </si>
  <si>
    <t>Estagio Pedro 700,00 menos ferias, voltou dia 09/02</t>
  </si>
  <si>
    <t>Htm*maicon Ramos 12x (robo de noticias 9/12</t>
  </si>
  <si>
    <t>Pró Labore Cesar Alberto Guarnieri Junior</t>
  </si>
  <si>
    <t>Pró Labore Lucas Ogliari Bavaresco</t>
  </si>
  <si>
    <t>Venda 100(COMISSÃO AI)</t>
  </si>
  <si>
    <t>Resultado Pelliser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</si>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</sst>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0.000%"/>
    <numFmt numFmtId="166" formatCode="#,##0.00_ ;\-#,##0.00\ 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222"/>
      <name val="Arial"/>
      <family val="2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Source Sans Pro"/>
      <family val="2"/>
    </font>
    <font>
      <sz val="1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theme="0"/>
      <name val="Calibri"/>
      <family val="2"/>
      <scheme val="minor"/>
    </font>
    <font>
      <sz val="12"/>
      <color theme="1"/>
      <name val="Arial Rounded MT Bold"/>
      <family val="2"/>
    </font>
    <font>
      <b/>
      <sz val="10"/>
      <color theme="1"/>
      <name val="Arial Rounded MT Bold"/>
      <family val="2"/>
    </font>
    <font>
      <b/>
      <sz val="14"/>
      <color theme="1"/>
      <name val="Times New Roman"/>
      <family val="1"/>
    </font>
    <font>
      <b/>
      <sz val="22"/>
      <color theme="0"/>
      <name val="Calibri"/>
      <family val="2"/>
      <scheme val="minor"/>
    </font>
    <font>
      <sz val="10.5"/>
      <color rgb="FF575757"/>
      <name val="Ping Pong"/>
    </font>
    <font>
      <b/>
      <sz val="10.5"/>
      <color rgb="FF575757"/>
      <name val="Ping Pong"/>
    </font>
    <font>
      <sz val="9"/>
      <color rgb="FF039BE5"/>
      <name val="Ping Pong"/>
    </font>
    <font>
      <sz val="9"/>
      <color rgb="FFF44336"/>
      <name val="Ping Pong"/>
    </font>
    <font>
      <b/>
      <sz val="10.5"/>
      <color rgb="FFFF0000"/>
      <name val="Ping Pong"/>
    </font>
    <font>
      <b/>
      <sz val="9"/>
      <color rgb="FFF44336"/>
      <name val="Ping Pong"/>
    </font>
    <font>
      <b/>
      <sz val="10.5"/>
      <color rgb="FF00B050"/>
      <name val="Ping Pong"/>
    </font>
    <font>
      <b/>
      <sz val="9"/>
      <color rgb="FF00B050"/>
      <name val="Ping Pong"/>
    </font>
    <font>
      <b/>
      <sz val="9"/>
      <color rgb="FF039BE5"/>
      <name val="Ping Pong"/>
    </font>
    <font>
      <b/>
      <sz val="10"/>
      <color rgb="FFFF0000"/>
      <name val="Ping Pong"/>
    </font>
    <font>
      <sz val="10.5"/>
      <color theme="0"/>
      <name val="Ping Pong"/>
    </font>
    <font>
      <b/>
      <sz val="10.5"/>
      <color theme="0"/>
      <name val="Ping Pong"/>
    </font>
    <font>
      <sz val="9"/>
      <color rgb="FF00B050"/>
      <name val="Ping Pong"/>
    </font>
    <font>
      <sz val="9"/>
      <color theme="0"/>
      <name val="Ping Pong"/>
    </font>
    <font>
      <sz val="10.5"/>
      <color rgb="FF00B050"/>
      <name val="Ping Pong"/>
    </font>
    <font>
      <sz val="10.5"/>
      <color rgb="FFFF0000"/>
      <name val="Ping Pong"/>
    </font>
    <font>
      <sz val="9"/>
      <color rgb="FFFF0000"/>
      <name val="Ping Pong"/>
    </font>
    <font>
      <b/>
      <sz val="11"/>
      <color theme="0"/>
      <name val="Ping Pong"/>
    </font>
    <font>
      <sz val="10.5"/>
      <color theme="1"/>
      <name val="Ping Pong"/>
    </font>
    <font>
      <b/>
      <sz val="10.5"/>
      <color theme="1"/>
      <name val="Ping Pong"/>
    </font>
    <font>
      <b/>
      <sz val="14"/>
      <color rgb="FF575757"/>
      <name val="Ping Pong"/>
    </font>
    <font>
      <b/>
      <sz val="12"/>
      <color rgb="FF0070C0"/>
      <name val="Ping Pong"/>
    </font>
    <font>
      <b/>
      <sz val="12"/>
      <color rgb="FFFF0000"/>
      <name val="Ping Pong"/>
    </font>
    <font>
      <b/>
      <sz val="12"/>
      <color theme="0"/>
      <name val="Ping Pong"/>
    </font>
    <font>
      <b/>
      <sz val="12"/>
      <color rgb="FF00B050"/>
      <name val="Ping Pong"/>
    </font>
    <font>
      <b/>
      <sz val="16"/>
      <color rgb="FF575757"/>
      <name val="Ping Pong"/>
    </font>
    <font>
      <b/>
      <sz val="16"/>
      <color rgb="FFFF0000"/>
      <name val="Ping Pong"/>
    </font>
  </fonts>
  <fills count="4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theme="4" tint="0.59999389629810485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theme="4" tint="0.59999389629810485"/>
      </patternFill>
    </fill>
    <fill>
      <patternFill patternType="solid">
        <fgColor rgb="FFFF0000"/>
        <bgColor theme="4" tint="0.59999389629810485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1F4F9"/>
        <bgColor rgb="FFF1F4F9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3" tint="0.79998168889431442"/>
        <bgColor rgb="FFFFFFFF"/>
      </patternFill>
    </fill>
    <fill>
      <patternFill patternType="solid">
        <fgColor theme="6" tint="0.59999389629810485"/>
        <bgColor rgb="FFFFFFFF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1"/>
        <bgColor rgb="FFFFFFFF"/>
      </patternFill>
    </fill>
    <fill>
      <patternFill patternType="solid">
        <fgColor theme="1"/>
        <bgColor rgb="FFF1F4F9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2" tint="-9.9978637043366805E-2"/>
        <bgColor rgb="FFFFFFFF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7" tint="0.79998168889431442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theme="2" tint="-0.249977111117893"/>
        <bgColor rgb="FFFFFFFF"/>
      </patternFill>
    </fill>
    <fill>
      <patternFill patternType="solid">
        <fgColor theme="2"/>
        <bgColor rgb="FFFFFFFF"/>
      </patternFill>
    </fill>
    <fill>
      <patternFill patternType="solid">
        <fgColor theme="5" tint="0.59999389629810485"/>
        <bgColor rgb="FFFFFFFF"/>
      </patternFill>
    </fill>
    <fill>
      <patternFill patternType="solid">
        <fgColor theme="9" tint="0.59999389629810485"/>
        <bgColor rgb="FFFFFFFF"/>
      </patternFill>
    </fill>
    <fill>
      <patternFill patternType="solid">
        <fgColor theme="8" tint="0.59999389629810485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theme="2" tint="-0.89999084444715716"/>
        <bgColor rgb="FFFFFFFF"/>
      </patternFill>
    </fill>
    <fill>
      <patternFill patternType="solid">
        <fgColor theme="8" tint="-0.499984740745262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9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theme="9" tint="0.39997558519241921"/>
        <bgColor rgb="FFFFFFFF"/>
      </patternFill>
    </fill>
    <fill>
      <patternFill patternType="solid">
        <fgColor theme="4" tint="0.59999389629810485"/>
        <bgColor rgb="FFFFFFFF"/>
      </patternFill>
    </fill>
    <fill>
      <patternFill patternType="solid">
        <fgColor theme="7" tint="0.59999389629810485"/>
        <bgColor rgb="FFF1F4F9"/>
      </patternFill>
    </fill>
    <fill>
      <patternFill patternType="solid">
        <fgColor theme="7"/>
        <bgColor rgb="FFFFFFFF"/>
      </patternFill>
    </fill>
    <fill>
      <patternFill patternType="solid">
        <fgColor theme="7"/>
        <bgColor rgb="FFF1F4F9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medium">
        <color indexed="64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25">
    <xf numFmtId="0" fontId="0" fillId="0" borderId="0" xfId="0"/>
    <xf numFmtId="164" fontId="1" fillId="0" borderId="1" xfId="1" applyNumberFormat="1" applyFont="1" applyBorder="1"/>
    <xf numFmtId="164" fontId="2" fillId="0" borderId="1" xfId="1" applyNumberFormat="1" applyFont="1" applyBorder="1"/>
    <xf numFmtId="17" fontId="5" fillId="0" borderId="1" xfId="0" applyNumberFormat="1" applyFont="1" applyBorder="1"/>
    <xf numFmtId="165" fontId="2" fillId="0" borderId="1" xfId="2" applyNumberFormat="1" applyFont="1" applyBorder="1"/>
    <xf numFmtId="0" fontId="5" fillId="0" borderId="2" xfId="0" applyFont="1" applyBorder="1"/>
    <xf numFmtId="0" fontId="4" fillId="0" borderId="2" xfId="0" applyFont="1" applyBorder="1"/>
    <xf numFmtId="17" fontId="5" fillId="0" borderId="4" xfId="0" applyNumberFormat="1" applyFont="1" applyBorder="1"/>
    <xf numFmtId="164" fontId="1" fillId="0" borderId="4" xfId="1" applyNumberFormat="1" applyFont="1" applyBorder="1"/>
    <xf numFmtId="164" fontId="2" fillId="0" borderId="4" xfId="1" applyNumberFormat="1" applyFont="1" applyBorder="1"/>
    <xf numFmtId="165" fontId="2" fillId="0" borderId="4" xfId="2" applyNumberFormat="1" applyFont="1" applyBorder="1"/>
    <xf numFmtId="165" fontId="2" fillId="0" borderId="3" xfId="2" applyNumberFormat="1" applyFont="1" applyBorder="1"/>
    <xf numFmtId="165" fontId="2" fillId="0" borderId="6" xfId="2" applyNumberFormat="1" applyFont="1" applyBorder="1"/>
    <xf numFmtId="0" fontId="5" fillId="0" borderId="5" xfId="0" applyFont="1" applyBorder="1"/>
    <xf numFmtId="165" fontId="1" fillId="0" borderId="1" xfId="2" applyNumberFormat="1" applyFont="1" applyBorder="1"/>
    <xf numFmtId="165" fontId="1" fillId="0" borderId="3" xfId="2" applyNumberFormat="1" applyFont="1" applyBorder="1"/>
    <xf numFmtId="164" fontId="1" fillId="2" borderId="1" xfId="1" applyNumberFormat="1" applyFont="1" applyFill="1" applyBorder="1"/>
    <xf numFmtId="164" fontId="3" fillId="2" borderId="1" xfId="1" applyNumberFormat="1" applyFont="1" applyFill="1" applyBorder="1"/>
    <xf numFmtId="164" fontId="2" fillId="2" borderId="1" xfId="1" applyNumberFormat="1" applyFont="1" applyFill="1" applyBorder="1"/>
    <xf numFmtId="164" fontId="1" fillId="3" borderId="1" xfId="1" applyNumberFormat="1" applyFont="1" applyFill="1" applyBorder="1"/>
    <xf numFmtId="164" fontId="1" fillId="4" borderId="1" xfId="1" applyNumberFormat="1" applyFont="1" applyFill="1" applyBorder="1"/>
    <xf numFmtId="0" fontId="6" fillId="5" borderId="2" xfId="0" applyFont="1" applyFill="1" applyBorder="1"/>
    <xf numFmtId="164" fontId="2" fillId="5" borderId="1" xfId="1" applyNumberFormat="1" applyFont="1" applyFill="1" applyBorder="1"/>
    <xf numFmtId="164" fontId="2" fillId="5" borderId="4" xfId="1" applyNumberFormat="1" applyFont="1" applyFill="1" applyBorder="1"/>
    <xf numFmtId="0" fontId="0" fillId="5" borderId="0" xfId="0" applyFill="1"/>
    <xf numFmtId="164" fontId="2" fillId="4" borderId="1" xfId="1" applyNumberFormat="1" applyFont="1" applyFill="1" applyBorder="1"/>
    <xf numFmtId="164" fontId="1" fillId="4" borderId="4" xfId="1" applyNumberFormat="1" applyFont="1" applyFill="1" applyBorder="1"/>
    <xf numFmtId="17" fontId="2" fillId="0" borderId="7" xfId="1" applyNumberFormat="1" applyFont="1" applyBorder="1"/>
    <xf numFmtId="0" fontId="5" fillId="6" borderId="1" xfId="0" applyFont="1" applyFill="1" applyBorder="1"/>
    <xf numFmtId="17" fontId="5" fillId="6" borderId="1" xfId="0" applyNumberFormat="1" applyFont="1" applyFill="1" applyBorder="1"/>
    <xf numFmtId="0" fontId="4" fillId="7" borderId="1" xfId="0" applyFont="1" applyFill="1" applyBorder="1"/>
    <xf numFmtId="164" fontId="0" fillId="2" borderId="1" xfId="1" applyNumberFormat="1" applyFont="1" applyFill="1" applyBorder="1"/>
    <xf numFmtId="0" fontId="4" fillId="6" borderId="1" xfId="0" applyFont="1" applyFill="1" applyBorder="1"/>
    <xf numFmtId="164" fontId="2" fillId="7" borderId="1" xfId="1" applyNumberFormat="1" applyFont="1" applyFill="1" applyBorder="1"/>
    <xf numFmtId="164" fontId="2" fillId="6" borderId="1" xfId="1" applyNumberFormat="1" applyFont="1" applyFill="1" applyBorder="1"/>
    <xf numFmtId="164" fontId="0" fillId="7" borderId="1" xfId="1" applyNumberFormat="1" applyFont="1" applyFill="1" applyBorder="1"/>
    <xf numFmtId="0" fontId="6" fillId="5" borderId="1" xfId="0" applyFont="1" applyFill="1" applyBorder="1"/>
    <xf numFmtId="164" fontId="0" fillId="6" borderId="1" xfId="1" applyNumberFormat="1" applyFont="1" applyFill="1" applyBorder="1"/>
    <xf numFmtId="0" fontId="5" fillId="7" borderId="1" xfId="0" applyFont="1" applyFill="1" applyBorder="1"/>
    <xf numFmtId="165" fontId="0" fillId="7" borderId="1" xfId="2" applyNumberFormat="1" applyFont="1" applyFill="1" applyBorder="1"/>
    <xf numFmtId="165" fontId="0" fillId="6" borderId="1" xfId="2" applyNumberFormat="1" applyFont="1" applyFill="1" applyBorder="1"/>
    <xf numFmtId="44" fontId="7" fillId="4" borderId="0" xfId="1" applyFont="1" applyFill="1"/>
    <xf numFmtId="164" fontId="0" fillId="4" borderId="1" xfId="1" applyNumberFormat="1" applyFont="1" applyFill="1" applyBorder="1"/>
    <xf numFmtId="164" fontId="2" fillId="4" borderId="4" xfId="1" applyNumberFormat="1" applyFont="1" applyFill="1" applyBorder="1"/>
    <xf numFmtId="44" fontId="0" fillId="4" borderId="1" xfId="1" applyFont="1" applyFill="1" applyBorder="1"/>
    <xf numFmtId="44" fontId="0" fillId="4" borderId="0" xfId="1" applyFont="1" applyFill="1"/>
    <xf numFmtId="164" fontId="0" fillId="4" borderId="4" xfId="1" applyNumberFormat="1" applyFont="1" applyFill="1" applyBorder="1"/>
    <xf numFmtId="164" fontId="0" fillId="0" borderId="4" xfId="1" applyNumberFormat="1" applyFont="1" applyFill="1" applyBorder="1"/>
    <xf numFmtId="44" fontId="0" fillId="4" borderId="4" xfId="1" applyFont="1" applyFill="1" applyBorder="1"/>
    <xf numFmtId="164" fontId="2" fillId="7" borderId="4" xfId="1" applyNumberFormat="1" applyFont="1" applyFill="1" applyBorder="1"/>
    <xf numFmtId="44" fontId="0" fillId="0" borderId="0" xfId="1" applyFont="1"/>
    <xf numFmtId="44" fontId="0" fillId="0" borderId="1" xfId="1" applyFont="1" applyBorder="1"/>
    <xf numFmtId="44" fontId="2" fillId="7" borderId="4" xfId="1" applyFont="1" applyFill="1" applyBorder="1"/>
    <xf numFmtId="17" fontId="5" fillId="6" borderId="1" xfId="1" applyNumberFormat="1" applyFont="1" applyFill="1" applyBorder="1"/>
    <xf numFmtId="44" fontId="0" fillId="0" borderId="4" xfId="1" applyFont="1" applyBorder="1"/>
    <xf numFmtId="44" fontId="2" fillId="5" borderId="4" xfId="1" applyFont="1" applyFill="1" applyBorder="1"/>
    <xf numFmtId="44" fontId="2" fillId="6" borderId="4" xfId="1" applyFont="1" applyFill="1" applyBorder="1"/>
    <xf numFmtId="9" fontId="0" fillId="7" borderId="4" xfId="2" applyFont="1" applyFill="1" applyBorder="1"/>
    <xf numFmtId="9" fontId="0" fillId="6" borderId="4" xfId="2" applyFont="1" applyFill="1" applyBorder="1"/>
    <xf numFmtId="0" fontId="0" fillId="0" borderId="1" xfId="0" applyBorder="1"/>
    <xf numFmtId="10" fontId="0" fillId="7" borderId="4" xfId="2" applyNumberFormat="1" applyFont="1" applyFill="1" applyBorder="1"/>
    <xf numFmtId="10" fontId="0" fillId="6" borderId="4" xfId="2" applyNumberFormat="1" applyFont="1" applyFill="1" applyBorder="1"/>
    <xf numFmtId="44" fontId="7" fillId="4" borderId="4" xfId="1" applyFont="1" applyFill="1" applyBorder="1"/>
    <xf numFmtId="44" fontId="2" fillId="5" borderId="1" xfId="1" applyFont="1" applyFill="1" applyBorder="1"/>
    <xf numFmtId="44" fontId="0" fillId="8" borderId="1" xfId="1" applyFont="1" applyFill="1" applyBorder="1"/>
    <xf numFmtId="44" fontId="2" fillId="6" borderId="1" xfId="1" applyFont="1" applyFill="1" applyBorder="1"/>
    <xf numFmtId="44" fontId="0" fillId="6" borderId="1" xfId="1" applyFont="1" applyFill="1" applyBorder="1"/>
    <xf numFmtId="44" fontId="0" fillId="0" borderId="1" xfId="1" applyFont="1" applyFill="1" applyBorder="1"/>
    <xf numFmtId="44" fontId="0" fillId="3" borderId="1" xfId="1" applyFont="1" applyFill="1" applyBorder="1"/>
    <xf numFmtId="44" fontId="0" fillId="2" borderId="4" xfId="1" applyFont="1" applyFill="1" applyBorder="1"/>
    <xf numFmtId="164" fontId="0" fillId="8" borderId="1" xfId="1" applyNumberFormat="1" applyFont="1" applyFill="1" applyBorder="1"/>
    <xf numFmtId="164" fontId="0" fillId="8" borderId="4" xfId="1" applyNumberFormat="1" applyFont="1" applyFill="1" applyBorder="1"/>
    <xf numFmtId="44" fontId="0" fillId="8" borderId="4" xfId="1" applyFont="1" applyFill="1" applyBorder="1"/>
    <xf numFmtId="44" fontId="8" fillId="8" borderId="1" xfId="1" applyFont="1" applyFill="1" applyBorder="1"/>
    <xf numFmtId="44" fontId="8" fillId="8" borderId="4" xfId="1" applyFont="1" applyFill="1" applyBorder="1"/>
    <xf numFmtId="44" fontId="7" fillId="8" borderId="1" xfId="1" applyFont="1" applyFill="1" applyBorder="1"/>
    <xf numFmtId="44" fontId="7" fillId="8" borderId="4" xfId="1" applyFont="1" applyFill="1" applyBorder="1"/>
    <xf numFmtId="164" fontId="1" fillId="8" borderId="1" xfId="1" applyNumberFormat="1" applyFont="1" applyFill="1" applyBorder="1"/>
    <xf numFmtId="44" fontId="0" fillId="8" borderId="0" xfId="1" applyFont="1" applyFill="1"/>
    <xf numFmtId="164" fontId="2" fillId="9" borderId="1" xfId="1" applyNumberFormat="1" applyFont="1" applyFill="1" applyBorder="1"/>
    <xf numFmtId="164" fontId="2" fillId="10" borderId="1" xfId="1" applyNumberFormat="1" applyFont="1" applyFill="1" applyBorder="1"/>
    <xf numFmtId="44" fontId="2" fillId="10" borderId="1" xfId="1" applyFont="1" applyFill="1" applyBorder="1"/>
    <xf numFmtId="164" fontId="0" fillId="9" borderId="1" xfId="1" applyNumberFormat="1" applyFont="1" applyFill="1" applyBorder="1"/>
    <xf numFmtId="0" fontId="0" fillId="8" borderId="1" xfId="0" applyFill="1" applyBorder="1"/>
    <xf numFmtId="44" fontId="0" fillId="2" borderId="1" xfId="1" applyFont="1" applyFill="1" applyBorder="1"/>
    <xf numFmtId="44" fontId="7" fillId="2" borderId="4" xfId="1" applyFont="1" applyFill="1" applyBorder="1"/>
    <xf numFmtId="0" fontId="0" fillId="2" borderId="0" xfId="0" applyFill="1"/>
    <xf numFmtId="164" fontId="2" fillId="10" borderId="4" xfId="1" applyNumberFormat="1" applyFont="1" applyFill="1" applyBorder="1"/>
    <xf numFmtId="44" fontId="0" fillId="8" borderId="2" xfId="1" applyFont="1" applyFill="1" applyBorder="1"/>
    <xf numFmtId="44" fontId="2" fillId="10" borderId="2" xfId="1" applyFont="1" applyFill="1" applyBorder="1"/>
    <xf numFmtId="44" fontId="0" fillId="8" borderId="3" xfId="1" applyFont="1" applyFill="1" applyBorder="1"/>
    <xf numFmtId="44" fontId="0" fillId="8" borderId="7" xfId="1" applyFont="1" applyFill="1" applyBorder="1"/>
    <xf numFmtId="44" fontId="0" fillId="8" borderId="1" xfId="1" applyFont="1" applyFill="1" applyBorder="1" applyAlignment="1">
      <alignment vertical="center"/>
    </xf>
    <xf numFmtId="17" fontId="5" fillId="6" borderId="4" xfId="0" applyNumberFormat="1" applyFont="1" applyFill="1" applyBorder="1"/>
    <xf numFmtId="17" fontId="10" fillId="6" borderId="3" xfId="0" applyNumberFormat="1" applyFont="1" applyFill="1" applyBorder="1" applyAlignment="1">
      <alignment horizontal="center"/>
    </xf>
    <xf numFmtId="44" fontId="0" fillId="11" borderId="3" xfId="1" applyFont="1" applyFill="1" applyBorder="1"/>
    <xf numFmtId="44" fontId="0" fillId="11" borderId="1" xfId="1" applyFont="1" applyFill="1" applyBorder="1"/>
    <xf numFmtId="44" fontId="0" fillId="12" borderId="3" xfId="1" applyFont="1" applyFill="1" applyBorder="1"/>
    <xf numFmtId="44" fontId="0" fillId="12" borderId="1" xfId="1" applyFont="1" applyFill="1" applyBorder="1"/>
    <xf numFmtId="44" fontId="0" fillId="12" borderId="1" xfId="1" applyFont="1" applyFill="1" applyBorder="1" applyAlignment="1">
      <alignment vertical="center"/>
    </xf>
    <xf numFmtId="44" fontId="2" fillId="13" borderId="1" xfId="1" applyFont="1" applyFill="1" applyBorder="1"/>
    <xf numFmtId="44" fontId="0" fillId="11" borderId="7" xfId="1" applyFont="1" applyFill="1" applyBorder="1"/>
    <xf numFmtId="0" fontId="0" fillId="11" borderId="1" xfId="0" applyFill="1" applyBorder="1"/>
    <xf numFmtId="44" fontId="2" fillId="14" borderId="1" xfId="1" applyFont="1" applyFill="1" applyBorder="1"/>
    <xf numFmtId="44" fontId="0" fillId="12" borderId="7" xfId="1" applyFont="1" applyFill="1" applyBorder="1"/>
    <xf numFmtId="0" fontId="0" fillId="12" borderId="1" xfId="0" applyFill="1" applyBorder="1"/>
    <xf numFmtId="164" fontId="0" fillId="12" borderId="1" xfId="0" applyNumberFormat="1" applyFill="1" applyBorder="1"/>
    <xf numFmtId="44" fontId="0" fillId="8" borderId="7" xfId="1" applyFont="1" applyFill="1" applyBorder="1" applyAlignment="1">
      <alignment vertical="center"/>
    </xf>
    <xf numFmtId="17" fontId="10" fillId="6" borderId="6" xfId="0" applyNumberFormat="1" applyFont="1" applyFill="1" applyBorder="1" applyAlignment="1">
      <alignment horizontal="center"/>
    </xf>
    <xf numFmtId="44" fontId="0" fillId="8" borderId="4" xfId="1" applyFont="1" applyFill="1" applyBorder="1" applyAlignment="1">
      <alignment vertical="center"/>
    </xf>
    <xf numFmtId="44" fontId="0" fillId="0" borderId="7" xfId="1" applyFont="1" applyBorder="1"/>
    <xf numFmtId="44" fontId="0" fillId="11" borderId="10" xfId="1" applyFont="1" applyFill="1" applyBorder="1"/>
    <xf numFmtId="44" fontId="0" fillId="8" borderId="12" xfId="1" applyFont="1" applyFill="1" applyBorder="1" applyAlignment="1">
      <alignment vertical="center"/>
    </xf>
    <xf numFmtId="44" fontId="0" fillId="11" borderId="13" xfId="1" applyFont="1" applyFill="1" applyBorder="1"/>
    <xf numFmtId="44" fontId="0" fillId="11" borderId="13" xfId="1" applyFont="1" applyFill="1" applyBorder="1" applyAlignment="1">
      <alignment vertical="center"/>
    </xf>
    <xf numFmtId="44" fontId="0" fillId="8" borderId="13" xfId="1" applyFont="1" applyFill="1" applyBorder="1"/>
    <xf numFmtId="44" fontId="0" fillId="8" borderId="14" xfId="1" applyFont="1" applyFill="1" applyBorder="1"/>
    <xf numFmtId="44" fontId="2" fillId="5" borderId="15" xfId="1" applyFont="1" applyFill="1" applyBorder="1"/>
    <xf numFmtId="44" fontId="2" fillId="5" borderId="16" xfId="1" applyFont="1" applyFill="1" applyBorder="1"/>
    <xf numFmtId="44" fontId="2" fillId="5" borderId="17" xfId="1" applyFont="1" applyFill="1" applyBorder="1"/>
    <xf numFmtId="44" fontId="0" fillId="8" borderId="9" xfId="1" applyFont="1" applyFill="1" applyBorder="1"/>
    <xf numFmtId="44" fontId="0" fillId="8" borderId="13" xfId="1" applyFont="1" applyFill="1" applyBorder="1" applyAlignment="1">
      <alignment vertical="center"/>
    </xf>
    <xf numFmtId="44" fontId="0" fillId="8" borderId="14" xfId="1" applyFont="1" applyFill="1" applyBorder="1" applyAlignment="1">
      <alignment vertical="center"/>
    </xf>
    <xf numFmtId="44" fontId="2" fillId="13" borderId="13" xfId="1" applyFont="1" applyFill="1" applyBorder="1"/>
    <xf numFmtId="0" fontId="12" fillId="7" borderId="1" xfId="0" applyFont="1" applyFill="1" applyBorder="1"/>
    <xf numFmtId="0" fontId="12" fillId="6" borderId="1" xfId="0" applyFont="1" applyFill="1" applyBorder="1"/>
    <xf numFmtId="17" fontId="13" fillId="6" borderId="10" xfId="0" applyNumberFormat="1" applyFont="1" applyFill="1" applyBorder="1" applyAlignment="1">
      <alignment horizontal="center"/>
    </xf>
    <xf numFmtId="17" fontId="13" fillId="6" borderId="3" xfId="0" applyNumberFormat="1" applyFont="1" applyFill="1" applyBorder="1" applyAlignment="1">
      <alignment horizontal="center"/>
    </xf>
    <xf numFmtId="17" fontId="13" fillId="6" borderId="11" xfId="0" applyNumberFormat="1" applyFont="1" applyFill="1" applyBorder="1" applyAlignment="1">
      <alignment horizontal="center"/>
    </xf>
    <xf numFmtId="0" fontId="5" fillId="6" borderId="7" xfId="0" applyFont="1" applyFill="1" applyBorder="1"/>
    <xf numFmtId="17" fontId="5" fillId="6" borderId="7" xfId="0" applyNumberFormat="1" applyFont="1" applyFill="1" applyBorder="1"/>
    <xf numFmtId="0" fontId="16" fillId="16" borderId="21" xfId="0" applyFont="1" applyFill="1" applyBorder="1" applyAlignment="1">
      <alignment horizontal="left" vertical="center" wrapText="1"/>
    </xf>
    <xf numFmtId="0" fontId="17" fillId="17" borderId="21" xfId="0" applyFont="1" applyFill="1" applyBorder="1" applyAlignment="1">
      <alignment horizontal="left" vertical="center" wrapText="1"/>
    </xf>
    <xf numFmtId="0" fontId="16" fillId="18" borderId="22" xfId="0" applyFont="1" applyFill="1" applyBorder="1" applyAlignment="1">
      <alignment horizontal="left" vertical="center" wrapText="1"/>
    </xf>
    <xf numFmtId="39" fontId="18" fillId="18" borderId="22" xfId="0" applyNumberFormat="1" applyFont="1" applyFill="1" applyBorder="1" applyAlignment="1">
      <alignment horizontal="right" vertical="center" wrapText="1"/>
    </xf>
    <xf numFmtId="39" fontId="19" fillId="18" borderId="22" xfId="0" applyNumberFormat="1" applyFont="1" applyFill="1" applyBorder="1" applyAlignment="1">
      <alignment horizontal="right" vertical="center" wrapText="1"/>
    </xf>
    <xf numFmtId="0" fontId="20" fillId="18" borderId="22" xfId="0" applyFont="1" applyFill="1" applyBorder="1" applyAlignment="1">
      <alignment horizontal="left" vertical="center" wrapText="1"/>
    </xf>
    <xf numFmtId="39" fontId="21" fillId="18" borderId="22" xfId="0" applyNumberFormat="1" applyFont="1" applyFill="1" applyBorder="1" applyAlignment="1">
      <alignment horizontal="right" vertical="center" wrapText="1"/>
    </xf>
    <xf numFmtId="0" fontId="22" fillId="18" borderId="22" xfId="0" applyFont="1" applyFill="1" applyBorder="1" applyAlignment="1">
      <alignment horizontal="left" vertical="center" wrapText="1"/>
    </xf>
    <xf numFmtId="39" fontId="23" fillId="18" borderId="22" xfId="0" applyNumberFormat="1" applyFont="1" applyFill="1" applyBorder="1" applyAlignment="1">
      <alignment horizontal="right" vertical="center" wrapText="1"/>
    </xf>
    <xf numFmtId="0" fontId="16" fillId="19" borderId="22" xfId="0" applyFont="1" applyFill="1" applyBorder="1" applyAlignment="1">
      <alignment horizontal="left" vertical="center" wrapText="1"/>
    </xf>
    <xf numFmtId="39" fontId="18" fillId="19" borderId="22" xfId="0" applyNumberFormat="1" applyFont="1" applyFill="1" applyBorder="1" applyAlignment="1">
      <alignment horizontal="right" vertical="center" wrapText="1"/>
    </xf>
    <xf numFmtId="0" fontId="17" fillId="19" borderId="22" xfId="0" applyFont="1" applyFill="1" applyBorder="1" applyAlignment="1">
      <alignment horizontal="left" vertical="center" wrapText="1"/>
    </xf>
    <xf numFmtId="39" fontId="24" fillId="19" borderId="22" xfId="0" applyNumberFormat="1" applyFont="1" applyFill="1" applyBorder="1" applyAlignment="1">
      <alignment horizontal="right" vertical="center" wrapText="1"/>
    </xf>
    <xf numFmtId="39" fontId="16" fillId="19" borderId="22" xfId="0" applyNumberFormat="1" applyFont="1" applyFill="1" applyBorder="1" applyAlignment="1">
      <alignment horizontal="right" vertical="center" wrapText="1"/>
    </xf>
    <xf numFmtId="39" fontId="19" fillId="19" borderId="22" xfId="0" applyNumberFormat="1" applyFont="1" applyFill="1" applyBorder="1" applyAlignment="1">
      <alignment horizontal="right" vertical="center" wrapText="1"/>
    </xf>
    <xf numFmtId="0" fontId="20" fillId="19" borderId="22" xfId="0" applyFont="1" applyFill="1" applyBorder="1" applyAlignment="1">
      <alignment horizontal="left" vertical="center" wrapText="1"/>
    </xf>
    <xf numFmtId="39" fontId="21" fillId="19" borderId="22" xfId="0" applyNumberFormat="1" applyFont="1" applyFill="1" applyBorder="1" applyAlignment="1">
      <alignment horizontal="right" vertical="center" wrapText="1"/>
    </xf>
    <xf numFmtId="0" fontId="22" fillId="19" borderId="22" xfId="0" applyFont="1" applyFill="1" applyBorder="1" applyAlignment="1">
      <alignment horizontal="left" vertical="center" wrapText="1"/>
    </xf>
    <xf numFmtId="39" fontId="23" fillId="19" borderId="22" xfId="0" applyNumberFormat="1" applyFont="1" applyFill="1" applyBorder="1" applyAlignment="1">
      <alignment horizontal="right" vertical="center" wrapText="1"/>
    </xf>
    <xf numFmtId="0" fontId="16" fillId="20" borderId="22" xfId="0" applyFont="1" applyFill="1" applyBorder="1" applyAlignment="1">
      <alignment horizontal="left" vertical="center" wrapText="1"/>
    </xf>
    <xf numFmtId="39" fontId="18" fillId="20" borderId="22" xfId="0" applyNumberFormat="1" applyFont="1" applyFill="1" applyBorder="1" applyAlignment="1">
      <alignment horizontal="right" vertical="center" wrapText="1"/>
    </xf>
    <xf numFmtId="0" fontId="17" fillId="20" borderId="22" xfId="0" applyFont="1" applyFill="1" applyBorder="1" applyAlignment="1">
      <alignment horizontal="left" vertical="center" wrapText="1"/>
    </xf>
    <xf numFmtId="39" fontId="24" fillId="20" borderId="22" xfId="0" applyNumberFormat="1" applyFont="1" applyFill="1" applyBorder="1" applyAlignment="1">
      <alignment horizontal="right" vertical="center" wrapText="1"/>
    </xf>
    <xf numFmtId="39" fontId="16" fillId="20" borderId="22" xfId="0" applyNumberFormat="1" applyFont="1" applyFill="1" applyBorder="1" applyAlignment="1">
      <alignment horizontal="right" vertical="center" wrapText="1"/>
    </xf>
    <xf numFmtId="39" fontId="19" fillId="20" borderId="22" xfId="0" applyNumberFormat="1" applyFont="1" applyFill="1" applyBorder="1" applyAlignment="1">
      <alignment horizontal="right" vertical="center" wrapText="1"/>
    </xf>
    <xf numFmtId="0" fontId="20" fillId="20" borderId="22" xfId="0" applyFont="1" applyFill="1" applyBorder="1" applyAlignment="1">
      <alignment horizontal="left" vertical="center" wrapText="1"/>
    </xf>
    <xf numFmtId="39" fontId="21" fillId="20" borderId="22" xfId="0" applyNumberFormat="1" applyFont="1" applyFill="1" applyBorder="1" applyAlignment="1">
      <alignment horizontal="right" vertical="center" wrapText="1"/>
    </xf>
    <xf numFmtId="0" fontId="22" fillId="20" borderId="22" xfId="0" applyFont="1" applyFill="1" applyBorder="1" applyAlignment="1">
      <alignment horizontal="left" vertical="center" wrapText="1"/>
    </xf>
    <xf numFmtId="39" fontId="23" fillId="20" borderId="22" xfId="0" applyNumberFormat="1" applyFont="1" applyFill="1" applyBorder="1" applyAlignment="1">
      <alignment horizontal="right" vertical="center" wrapText="1"/>
    </xf>
    <xf numFmtId="0" fontId="16" fillId="21" borderId="22" xfId="0" applyFont="1" applyFill="1" applyBorder="1" applyAlignment="1">
      <alignment horizontal="left" vertical="center" wrapText="1"/>
    </xf>
    <xf numFmtId="39" fontId="18" fillId="21" borderId="22" xfId="0" applyNumberFormat="1" applyFont="1" applyFill="1" applyBorder="1" applyAlignment="1">
      <alignment horizontal="right" vertical="center" wrapText="1"/>
    </xf>
    <xf numFmtId="39" fontId="16" fillId="21" borderId="22" xfId="0" applyNumberFormat="1" applyFont="1" applyFill="1" applyBorder="1" applyAlignment="1">
      <alignment horizontal="right" vertical="center" wrapText="1"/>
    </xf>
    <xf numFmtId="39" fontId="19" fillId="21" borderId="22" xfId="0" applyNumberFormat="1" applyFont="1" applyFill="1" applyBorder="1" applyAlignment="1">
      <alignment horizontal="right" vertical="center" wrapText="1"/>
    </xf>
    <xf numFmtId="0" fontId="20" fillId="21" borderId="22" xfId="0" applyFont="1" applyFill="1" applyBorder="1" applyAlignment="1">
      <alignment horizontal="left" vertical="center" wrapText="1"/>
    </xf>
    <xf numFmtId="39" fontId="21" fillId="21" borderId="22" xfId="0" applyNumberFormat="1" applyFont="1" applyFill="1" applyBorder="1" applyAlignment="1">
      <alignment horizontal="right" vertical="center" wrapText="1"/>
    </xf>
    <xf numFmtId="0" fontId="22" fillId="21" borderId="22" xfId="0" applyFont="1" applyFill="1" applyBorder="1" applyAlignment="1">
      <alignment horizontal="left" vertical="center" wrapText="1"/>
    </xf>
    <xf numFmtId="39" fontId="23" fillId="21" borderId="22" xfId="0" applyNumberFormat="1" applyFont="1" applyFill="1" applyBorder="1" applyAlignment="1">
      <alignment horizontal="right" vertical="center" wrapText="1"/>
    </xf>
    <xf numFmtId="0" fontId="16" fillId="22" borderId="22" xfId="0" applyFont="1" applyFill="1" applyBorder="1" applyAlignment="1">
      <alignment horizontal="left" vertical="center" wrapText="1"/>
    </xf>
    <xf numFmtId="39" fontId="18" fillId="22" borderId="22" xfId="0" applyNumberFormat="1" applyFont="1" applyFill="1" applyBorder="1" applyAlignment="1">
      <alignment horizontal="right" vertical="center" wrapText="1"/>
    </xf>
    <xf numFmtId="39" fontId="19" fillId="22" borderId="22" xfId="0" applyNumberFormat="1" applyFont="1" applyFill="1" applyBorder="1" applyAlignment="1">
      <alignment horizontal="right" vertical="center" wrapText="1"/>
    </xf>
    <xf numFmtId="0" fontId="20" fillId="22" borderId="22" xfId="0" applyFont="1" applyFill="1" applyBorder="1" applyAlignment="1">
      <alignment horizontal="left" vertical="center" wrapText="1"/>
    </xf>
    <xf numFmtId="39" fontId="21" fillId="22" borderId="22" xfId="0" applyNumberFormat="1" applyFont="1" applyFill="1" applyBorder="1" applyAlignment="1">
      <alignment horizontal="right" vertical="center" wrapText="1"/>
    </xf>
    <xf numFmtId="0" fontId="22" fillId="22" borderId="22" xfId="0" applyFont="1" applyFill="1" applyBorder="1" applyAlignment="1">
      <alignment horizontal="left" vertical="center" wrapText="1"/>
    </xf>
    <xf numFmtId="39" fontId="23" fillId="22" borderId="22" xfId="0" applyNumberFormat="1" applyFont="1" applyFill="1" applyBorder="1" applyAlignment="1">
      <alignment horizontal="right" vertical="center" wrapText="1"/>
    </xf>
    <xf numFmtId="0" fontId="16" fillId="23" borderId="22" xfId="0" applyFont="1" applyFill="1" applyBorder="1" applyAlignment="1">
      <alignment horizontal="left" vertical="center" wrapText="1"/>
    </xf>
    <xf numFmtId="39" fontId="18" fillId="23" borderId="22" xfId="0" applyNumberFormat="1" applyFont="1" applyFill="1" applyBorder="1" applyAlignment="1">
      <alignment horizontal="right" vertical="center" wrapText="1"/>
    </xf>
    <xf numFmtId="39" fontId="19" fillId="23" borderId="22" xfId="0" applyNumberFormat="1" applyFont="1" applyFill="1" applyBorder="1" applyAlignment="1">
      <alignment horizontal="right" vertical="center" wrapText="1"/>
    </xf>
    <xf numFmtId="0" fontId="20" fillId="23" borderId="22" xfId="0" applyFont="1" applyFill="1" applyBorder="1" applyAlignment="1">
      <alignment horizontal="left" vertical="center" wrapText="1"/>
    </xf>
    <xf numFmtId="39" fontId="21" fillId="23" borderId="22" xfId="0" applyNumberFormat="1" applyFont="1" applyFill="1" applyBorder="1" applyAlignment="1">
      <alignment horizontal="right" vertical="center" wrapText="1"/>
    </xf>
    <xf numFmtId="0" fontId="22" fillId="23" borderId="22" xfId="0" applyFont="1" applyFill="1" applyBorder="1" applyAlignment="1">
      <alignment horizontal="left" vertical="center" wrapText="1"/>
    </xf>
    <xf numFmtId="39" fontId="23" fillId="23" borderId="22" xfId="0" applyNumberFormat="1" applyFont="1" applyFill="1" applyBorder="1" applyAlignment="1">
      <alignment horizontal="right" vertical="center" wrapText="1"/>
    </xf>
    <xf numFmtId="0" fontId="26" fillId="24" borderId="21" xfId="0" applyFont="1" applyFill="1" applyBorder="1" applyAlignment="1">
      <alignment horizontal="left" vertical="center" wrapText="1"/>
    </xf>
    <xf numFmtId="0" fontId="27" fillId="25" borderId="21" xfId="0" applyFont="1" applyFill="1" applyBorder="1" applyAlignment="1">
      <alignment horizontal="left" vertical="center" wrapText="1"/>
    </xf>
    <xf numFmtId="0" fontId="17" fillId="26" borderId="22" xfId="0" applyFont="1" applyFill="1" applyBorder="1" applyAlignment="1">
      <alignment horizontal="left" vertical="center" wrapText="1"/>
    </xf>
    <xf numFmtId="0" fontId="16" fillId="26" borderId="22" xfId="0" applyFont="1" applyFill="1" applyBorder="1" applyAlignment="1">
      <alignment horizontal="left" vertical="center" wrapText="1"/>
    </xf>
    <xf numFmtId="39" fontId="18" fillId="26" borderId="22" xfId="0" applyNumberFormat="1" applyFont="1" applyFill="1" applyBorder="1" applyAlignment="1">
      <alignment horizontal="right" vertical="center" wrapText="1"/>
    </xf>
    <xf numFmtId="39" fontId="19" fillId="26" borderId="22" xfId="0" applyNumberFormat="1" applyFont="1" applyFill="1" applyBorder="1" applyAlignment="1">
      <alignment horizontal="right" vertical="center" wrapText="1"/>
    </xf>
    <xf numFmtId="39" fontId="23" fillId="26" borderId="22" xfId="0" applyNumberFormat="1" applyFont="1" applyFill="1" applyBorder="1" applyAlignment="1">
      <alignment horizontal="right" vertical="center" wrapText="1"/>
    </xf>
    <xf numFmtId="0" fontId="17" fillId="27" borderId="22" xfId="0" applyFont="1" applyFill="1" applyBorder="1" applyAlignment="1">
      <alignment horizontal="left" vertical="center" wrapText="1"/>
    </xf>
    <xf numFmtId="0" fontId="16" fillId="27" borderId="22" xfId="0" applyFont="1" applyFill="1" applyBorder="1" applyAlignment="1">
      <alignment horizontal="left" vertical="center" wrapText="1"/>
    </xf>
    <xf numFmtId="39" fontId="18" fillId="27" borderId="22" xfId="0" applyNumberFormat="1" applyFont="1" applyFill="1" applyBorder="1" applyAlignment="1">
      <alignment horizontal="right" vertical="center" wrapText="1"/>
    </xf>
    <xf numFmtId="39" fontId="16" fillId="27" borderId="22" xfId="0" applyNumberFormat="1" applyFont="1" applyFill="1" applyBorder="1" applyAlignment="1">
      <alignment horizontal="right" vertical="center" wrapText="1"/>
    </xf>
    <xf numFmtId="39" fontId="19" fillId="27" borderId="22" xfId="0" applyNumberFormat="1" applyFont="1" applyFill="1" applyBorder="1" applyAlignment="1">
      <alignment horizontal="right" vertical="center" wrapText="1"/>
    </xf>
    <xf numFmtId="39" fontId="23" fillId="27" borderId="22" xfId="0" applyNumberFormat="1" applyFont="1" applyFill="1" applyBorder="1" applyAlignment="1">
      <alignment horizontal="right" vertical="center" wrapText="1"/>
    </xf>
    <xf numFmtId="0" fontId="17" fillId="28" borderId="22" xfId="0" applyFont="1" applyFill="1" applyBorder="1" applyAlignment="1">
      <alignment horizontal="left" vertical="center" wrapText="1"/>
    </xf>
    <xf numFmtId="0" fontId="16" fillId="28" borderId="22" xfId="0" applyFont="1" applyFill="1" applyBorder="1" applyAlignment="1">
      <alignment horizontal="left" vertical="center" wrapText="1"/>
    </xf>
    <xf numFmtId="39" fontId="18" fillId="28" borderId="22" xfId="0" applyNumberFormat="1" applyFont="1" applyFill="1" applyBorder="1" applyAlignment="1">
      <alignment horizontal="right" vertical="center" wrapText="1"/>
    </xf>
    <xf numFmtId="39" fontId="16" fillId="28" borderId="22" xfId="0" applyNumberFormat="1" applyFont="1" applyFill="1" applyBorder="1" applyAlignment="1">
      <alignment horizontal="right" vertical="center" wrapText="1"/>
    </xf>
    <xf numFmtId="39" fontId="19" fillId="28" borderId="22" xfId="0" applyNumberFormat="1" applyFont="1" applyFill="1" applyBorder="1" applyAlignment="1">
      <alignment horizontal="right" vertical="center" wrapText="1"/>
    </xf>
    <xf numFmtId="39" fontId="23" fillId="28" borderId="22" xfId="0" applyNumberFormat="1" applyFont="1" applyFill="1" applyBorder="1" applyAlignment="1">
      <alignment horizontal="right" vertical="center" wrapText="1"/>
    </xf>
    <xf numFmtId="0" fontId="17" fillId="29" borderId="22" xfId="0" applyFont="1" applyFill="1" applyBorder="1" applyAlignment="1">
      <alignment horizontal="left" vertical="center" wrapText="1"/>
    </xf>
    <xf numFmtId="0" fontId="16" fillId="29" borderId="22" xfId="0" applyFont="1" applyFill="1" applyBorder="1" applyAlignment="1">
      <alignment horizontal="left" vertical="center" wrapText="1"/>
    </xf>
    <xf numFmtId="39" fontId="18" fillId="29" borderId="22" xfId="0" applyNumberFormat="1" applyFont="1" applyFill="1" applyBorder="1" applyAlignment="1">
      <alignment horizontal="right" vertical="center" wrapText="1"/>
    </xf>
    <xf numFmtId="39" fontId="16" fillId="29" borderId="22" xfId="0" applyNumberFormat="1" applyFont="1" applyFill="1" applyBorder="1" applyAlignment="1">
      <alignment horizontal="right" vertical="center" wrapText="1"/>
    </xf>
    <xf numFmtId="39" fontId="19" fillId="29" borderId="22" xfId="0" applyNumberFormat="1" applyFont="1" applyFill="1" applyBorder="1" applyAlignment="1">
      <alignment horizontal="right" vertical="center" wrapText="1"/>
    </xf>
    <xf numFmtId="39" fontId="23" fillId="29" borderId="22" xfId="0" applyNumberFormat="1" applyFont="1" applyFill="1" applyBorder="1" applyAlignment="1">
      <alignment horizontal="right" vertical="center" wrapText="1"/>
    </xf>
    <xf numFmtId="0" fontId="17" fillId="22" borderId="22" xfId="0" applyFont="1" applyFill="1" applyBorder="1" applyAlignment="1">
      <alignment horizontal="left" vertical="center" wrapText="1"/>
    </xf>
    <xf numFmtId="39" fontId="28" fillId="19" borderId="24" xfId="0" applyNumberFormat="1" applyFont="1" applyFill="1" applyBorder="1" applyAlignment="1">
      <alignment horizontal="right" vertical="center" wrapText="1"/>
    </xf>
    <xf numFmtId="39" fontId="29" fillId="24" borderId="22" xfId="0" applyNumberFormat="1" applyFont="1" applyFill="1" applyBorder="1" applyAlignment="1">
      <alignment horizontal="right" vertical="center" wrapText="1"/>
    </xf>
    <xf numFmtId="9" fontId="29" fillId="24" borderId="22" xfId="2" applyFont="1" applyFill="1" applyBorder="1" applyAlignment="1">
      <alignment horizontal="center" vertical="center" wrapText="1"/>
    </xf>
    <xf numFmtId="39" fontId="11" fillId="12" borderId="22" xfId="0" applyNumberFormat="1" applyFont="1" applyFill="1" applyBorder="1"/>
    <xf numFmtId="9" fontId="11" fillId="12" borderId="22" xfId="2" applyFont="1" applyFill="1" applyBorder="1" applyAlignment="1">
      <alignment horizontal="center"/>
    </xf>
    <xf numFmtId="166" fontId="11" fillId="11" borderId="22" xfId="0" applyNumberFormat="1" applyFont="1" applyFill="1" applyBorder="1"/>
    <xf numFmtId="9" fontId="11" fillId="11" borderId="22" xfId="2" applyFont="1" applyFill="1" applyBorder="1" applyAlignment="1">
      <alignment horizontal="center"/>
    </xf>
    <xf numFmtId="0" fontId="17" fillId="32" borderId="22" xfId="0" applyFont="1" applyFill="1" applyBorder="1" applyAlignment="1">
      <alignment horizontal="left" vertical="center" wrapText="1"/>
    </xf>
    <xf numFmtId="0" fontId="16" fillId="32" borderId="22" xfId="0" applyFont="1" applyFill="1" applyBorder="1" applyAlignment="1">
      <alignment horizontal="left" vertical="center" wrapText="1"/>
    </xf>
    <xf numFmtId="39" fontId="24" fillId="32" borderId="22" xfId="0" applyNumberFormat="1" applyFont="1" applyFill="1" applyBorder="1" applyAlignment="1">
      <alignment horizontal="right" vertical="center" wrapText="1"/>
    </xf>
    <xf numFmtId="39" fontId="19" fillId="32" borderId="22" xfId="0" applyNumberFormat="1" applyFont="1" applyFill="1" applyBorder="1" applyAlignment="1">
      <alignment horizontal="right" vertical="center" wrapText="1"/>
    </xf>
    <xf numFmtId="0" fontId="20" fillId="32" borderId="22" xfId="0" applyFont="1" applyFill="1" applyBorder="1" applyAlignment="1">
      <alignment horizontal="left" vertical="center" wrapText="1"/>
    </xf>
    <xf numFmtId="39" fontId="25" fillId="32" borderId="22" xfId="0" applyNumberFormat="1" applyFont="1" applyFill="1" applyBorder="1" applyAlignment="1">
      <alignment horizontal="right" vertical="center" wrapText="1"/>
    </xf>
    <xf numFmtId="0" fontId="16" fillId="16" borderId="25" xfId="0" applyFont="1" applyFill="1" applyBorder="1" applyAlignment="1">
      <alignment horizontal="left" vertical="center" wrapText="1"/>
    </xf>
    <xf numFmtId="0" fontId="17" fillId="17" borderId="25" xfId="0" applyFont="1" applyFill="1" applyBorder="1" applyAlignment="1">
      <alignment horizontal="left" vertical="center" wrapText="1"/>
    </xf>
    <xf numFmtId="0" fontId="16" fillId="19" borderId="25" xfId="0" applyFont="1" applyFill="1" applyBorder="1" applyAlignment="1">
      <alignment horizontal="left" vertical="center" wrapText="1"/>
    </xf>
    <xf numFmtId="39" fontId="18" fillId="19" borderId="25" xfId="0" applyNumberFormat="1" applyFont="1" applyFill="1" applyBorder="1" applyAlignment="1">
      <alignment horizontal="right" vertical="center" wrapText="1"/>
    </xf>
    <xf numFmtId="39" fontId="19" fillId="19" borderId="25" xfId="0" applyNumberFormat="1" applyFont="1" applyFill="1" applyBorder="1" applyAlignment="1">
      <alignment horizontal="right" vertical="center" wrapText="1"/>
    </xf>
    <xf numFmtId="39" fontId="16" fillId="19" borderId="25" xfId="0" applyNumberFormat="1" applyFont="1" applyFill="1" applyBorder="1" applyAlignment="1">
      <alignment horizontal="right" vertical="center" wrapText="1"/>
    </xf>
    <xf numFmtId="39" fontId="21" fillId="19" borderId="25" xfId="0" applyNumberFormat="1" applyFont="1" applyFill="1" applyBorder="1" applyAlignment="1">
      <alignment horizontal="right" vertical="center" wrapText="1"/>
    </xf>
    <xf numFmtId="0" fontId="30" fillId="19" borderId="25" xfId="0" applyFont="1" applyFill="1" applyBorder="1" applyAlignment="1">
      <alignment horizontal="left" vertical="center" wrapText="1"/>
    </xf>
    <xf numFmtId="39" fontId="28" fillId="19" borderId="25" xfId="0" applyNumberFormat="1" applyFont="1" applyFill="1" applyBorder="1" applyAlignment="1">
      <alignment horizontal="right" vertical="center" wrapText="1"/>
    </xf>
    <xf numFmtId="0" fontId="16" fillId="26" borderId="25" xfId="0" applyFont="1" applyFill="1" applyBorder="1" applyAlignment="1">
      <alignment horizontal="left" vertical="center" wrapText="1"/>
    </xf>
    <xf numFmtId="39" fontId="18" fillId="26" borderId="25" xfId="0" applyNumberFormat="1" applyFont="1" applyFill="1" applyBorder="1" applyAlignment="1">
      <alignment horizontal="right" vertical="center" wrapText="1"/>
    </xf>
    <xf numFmtId="39" fontId="19" fillId="26" borderId="25" xfId="0" applyNumberFormat="1" applyFont="1" applyFill="1" applyBorder="1" applyAlignment="1">
      <alignment horizontal="right" vertical="center" wrapText="1"/>
    </xf>
    <xf numFmtId="39" fontId="21" fillId="26" borderId="25" xfId="0" applyNumberFormat="1" applyFont="1" applyFill="1" applyBorder="1" applyAlignment="1">
      <alignment horizontal="right" vertical="center" wrapText="1"/>
    </xf>
    <xf numFmtId="0" fontId="22" fillId="26" borderId="25" xfId="0" applyFont="1" applyFill="1" applyBorder="1" applyAlignment="1">
      <alignment horizontal="left" vertical="center" wrapText="1"/>
    </xf>
    <xf numFmtId="39" fontId="23" fillId="26" borderId="25" xfId="0" applyNumberFormat="1" applyFont="1" applyFill="1" applyBorder="1" applyAlignment="1">
      <alignment horizontal="right" vertical="center" wrapText="1"/>
    </xf>
    <xf numFmtId="0" fontId="16" fillId="28" borderId="25" xfId="0" applyFont="1" applyFill="1" applyBorder="1" applyAlignment="1">
      <alignment horizontal="left" vertical="center" wrapText="1"/>
    </xf>
    <xf numFmtId="39" fontId="18" fillId="28" borderId="25" xfId="0" applyNumberFormat="1" applyFont="1" applyFill="1" applyBorder="1" applyAlignment="1">
      <alignment horizontal="right" vertical="center" wrapText="1"/>
    </xf>
    <xf numFmtId="39" fontId="19" fillId="28" borderId="25" xfId="0" applyNumberFormat="1" applyFont="1" applyFill="1" applyBorder="1" applyAlignment="1">
      <alignment horizontal="right" vertical="center" wrapText="1"/>
    </xf>
    <xf numFmtId="39" fontId="21" fillId="28" borderId="25" xfId="0" applyNumberFormat="1" applyFont="1" applyFill="1" applyBorder="1" applyAlignment="1">
      <alignment horizontal="right" vertical="center" wrapText="1"/>
    </xf>
    <xf numFmtId="0" fontId="22" fillId="28" borderId="25" xfId="0" applyFont="1" applyFill="1" applyBorder="1" applyAlignment="1">
      <alignment horizontal="left" vertical="center" wrapText="1"/>
    </xf>
    <xf numFmtId="39" fontId="23" fillId="28" borderId="25" xfId="0" applyNumberFormat="1" applyFont="1" applyFill="1" applyBorder="1" applyAlignment="1">
      <alignment horizontal="right" vertical="center" wrapText="1"/>
    </xf>
    <xf numFmtId="0" fontId="16" fillId="33" borderId="25" xfId="0" applyFont="1" applyFill="1" applyBorder="1" applyAlignment="1">
      <alignment horizontal="left" vertical="center" wrapText="1"/>
    </xf>
    <xf numFmtId="39" fontId="18" fillId="33" borderId="25" xfId="0" applyNumberFormat="1" applyFont="1" applyFill="1" applyBorder="1" applyAlignment="1">
      <alignment horizontal="right" vertical="center" wrapText="1"/>
    </xf>
    <xf numFmtId="39" fontId="19" fillId="33" borderId="25" xfId="0" applyNumberFormat="1" applyFont="1" applyFill="1" applyBorder="1" applyAlignment="1">
      <alignment horizontal="right" vertical="center" wrapText="1"/>
    </xf>
    <xf numFmtId="39" fontId="21" fillId="33" borderId="25" xfId="0" applyNumberFormat="1" applyFont="1" applyFill="1" applyBorder="1" applyAlignment="1">
      <alignment horizontal="right" vertical="center" wrapText="1"/>
    </xf>
    <xf numFmtId="0" fontId="22" fillId="33" borderId="25" xfId="0" applyFont="1" applyFill="1" applyBorder="1" applyAlignment="1">
      <alignment horizontal="left" vertical="center" wrapText="1"/>
    </xf>
    <xf numFmtId="39" fontId="23" fillId="33" borderId="25" xfId="0" applyNumberFormat="1" applyFont="1" applyFill="1" applyBorder="1" applyAlignment="1">
      <alignment horizontal="right" vertical="center" wrapText="1"/>
    </xf>
    <xf numFmtId="0" fontId="16" fillId="29" borderId="25" xfId="0" applyFont="1" applyFill="1" applyBorder="1" applyAlignment="1">
      <alignment horizontal="left" vertical="center" wrapText="1"/>
    </xf>
    <xf numFmtId="39" fontId="18" fillId="29" borderId="25" xfId="0" applyNumberFormat="1" applyFont="1" applyFill="1" applyBorder="1" applyAlignment="1">
      <alignment horizontal="right" vertical="center" wrapText="1"/>
    </xf>
    <xf numFmtId="39" fontId="16" fillId="29" borderId="25" xfId="0" applyNumberFormat="1" applyFont="1" applyFill="1" applyBorder="1" applyAlignment="1">
      <alignment horizontal="right" vertical="center" wrapText="1"/>
    </xf>
    <xf numFmtId="39" fontId="19" fillId="29" borderId="25" xfId="0" applyNumberFormat="1" applyFont="1" applyFill="1" applyBorder="1" applyAlignment="1">
      <alignment horizontal="right" vertical="center" wrapText="1"/>
    </xf>
    <xf numFmtId="39" fontId="21" fillId="29" borderId="25" xfId="0" applyNumberFormat="1" applyFont="1" applyFill="1" applyBorder="1" applyAlignment="1">
      <alignment horizontal="right" vertical="center" wrapText="1"/>
    </xf>
    <xf numFmtId="0" fontId="22" fillId="29" borderId="25" xfId="0" applyFont="1" applyFill="1" applyBorder="1" applyAlignment="1">
      <alignment horizontal="left" vertical="center" wrapText="1"/>
    </xf>
    <xf numFmtId="39" fontId="23" fillId="29" borderId="25" xfId="0" applyNumberFormat="1" applyFont="1" applyFill="1" applyBorder="1" applyAlignment="1">
      <alignment horizontal="right" vertical="center" wrapText="1"/>
    </xf>
    <xf numFmtId="0" fontId="31" fillId="28" borderId="25" xfId="0" applyFont="1" applyFill="1" applyBorder="1" applyAlignment="1">
      <alignment horizontal="left" vertical="center" wrapText="1"/>
    </xf>
    <xf numFmtId="39" fontId="32" fillId="28" borderId="25" xfId="0" applyNumberFormat="1" applyFont="1" applyFill="1" applyBorder="1" applyAlignment="1">
      <alignment horizontal="right" vertical="center" wrapText="1"/>
    </xf>
    <xf numFmtId="39" fontId="18" fillId="16" borderId="25" xfId="0" applyNumberFormat="1" applyFont="1" applyFill="1" applyBorder="1" applyAlignment="1">
      <alignment horizontal="right" vertical="center" wrapText="1"/>
    </xf>
    <xf numFmtId="44" fontId="0" fillId="0" borderId="0" xfId="0" applyNumberFormat="1"/>
    <xf numFmtId="44" fontId="0" fillId="8" borderId="0" xfId="1" applyFont="1" applyFill="1" applyBorder="1"/>
    <xf numFmtId="44" fontId="0" fillId="0" borderId="0" xfId="1" applyFont="1" applyBorder="1"/>
    <xf numFmtId="44" fontId="0" fillId="6" borderId="0" xfId="1" applyFont="1" applyFill="1" applyBorder="1"/>
    <xf numFmtId="44" fontId="2" fillId="7" borderId="0" xfId="1" applyFont="1" applyFill="1" applyBorder="1"/>
    <xf numFmtId="9" fontId="0" fillId="7" borderId="0" xfId="2" applyFont="1" applyFill="1" applyBorder="1"/>
    <xf numFmtId="9" fontId="0" fillId="6" borderId="0" xfId="2" applyFont="1" applyFill="1" applyBorder="1"/>
    <xf numFmtId="0" fontId="33" fillId="24" borderId="25" xfId="0" applyFont="1" applyFill="1" applyBorder="1" applyAlignment="1">
      <alignment horizontal="left" vertical="center" wrapText="1"/>
    </xf>
    <xf numFmtId="0" fontId="33" fillId="25" borderId="25" xfId="0" applyFont="1" applyFill="1" applyBorder="1" applyAlignment="1">
      <alignment horizontal="left" vertical="center" wrapText="1"/>
    </xf>
    <xf numFmtId="0" fontId="16" fillId="32" borderId="25" xfId="0" applyFont="1" applyFill="1" applyBorder="1" applyAlignment="1">
      <alignment horizontal="left" vertical="center" wrapText="1"/>
    </xf>
    <xf numFmtId="39" fontId="16" fillId="32" borderId="25" xfId="0" applyNumberFormat="1" applyFont="1" applyFill="1" applyBorder="1" applyAlignment="1">
      <alignment horizontal="right" vertical="center" wrapText="1"/>
    </xf>
    <xf numFmtId="0" fontId="34" fillId="31" borderId="25" xfId="0" applyFont="1" applyFill="1" applyBorder="1" applyAlignment="1">
      <alignment horizontal="left" vertical="center" wrapText="1"/>
    </xf>
    <xf numFmtId="39" fontId="34" fillId="31" borderId="25" xfId="0" applyNumberFormat="1" applyFont="1" applyFill="1" applyBorder="1" applyAlignment="1">
      <alignment horizontal="right" vertical="center" wrapText="1"/>
    </xf>
    <xf numFmtId="0" fontId="26" fillId="30" borderId="25" xfId="0" applyFont="1" applyFill="1" applyBorder="1" applyAlignment="1">
      <alignment horizontal="left" vertical="center" wrapText="1"/>
    </xf>
    <xf numFmtId="39" fontId="26" fillId="30" borderId="25" xfId="0" applyNumberFormat="1" applyFont="1" applyFill="1" applyBorder="1" applyAlignment="1">
      <alignment horizontal="right" vertical="center" wrapText="1"/>
    </xf>
    <xf numFmtId="0" fontId="35" fillId="30" borderId="25" xfId="0" applyFont="1" applyFill="1" applyBorder="1" applyAlignment="1">
      <alignment horizontal="left" vertical="center" wrapText="1"/>
    </xf>
    <xf numFmtId="39" fontId="35" fillId="30" borderId="25" xfId="0" applyNumberFormat="1" applyFont="1" applyFill="1" applyBorder="1" applyAlignment="1">
      <alignment horizontal="right" vertical="center" wrapText="1"/>
    </xf>
    <xf numFmtId="0" fontId="16" fillId="34" borderId="25" xfId="0" applyFont="1" applyFill="1" applyBorder="1" applyAlignment="1">
      <alignment horizontal="left" vertical="center" wrapText="1"/>
    </xf>
    <xf numFmtId="39" fontId="16" fillId="34" borderId="25" xfId="0" applyNumberFormat="1" applyFont="1" applyFill="1" applyBorder="1" applyAlignment="1">
      <alignment horizontal="right" vertical="center" wrapText="1"/>
    </xf>
    <xf numFmtId="0" fontId="16" fillId="34" borderId="21" xfId="0" applyFont="1" applyFill="1" applyBorder="1" applyAlignment="1">
      <alignment horizontal="left" vertical="center" wrapText="1"/>
    </xf>
    <xf numFmtId="0" fontId="27" fillId="31" borderId="21" xfId="0" applyFont="1" applyFill="1" applyBorder="1" applyAlignment="1">
      <alignment horizontal="left" vertical="center" wrapText="1"/>
    </xf>
    <xf numFmtId="39" fontId="27" fillId="31" borderId="21" xfId="0" applyNumberFormat="1" applyFont="1" applyFill="1" applyBorder="1" applyAlignment="1">
      <alignment horizontal="right" vertical="center" wrapText="1"/>
    </xf>
    <xf numFmtId="0" fontId="16" fillId="35" borderId="27" xfId="0" applyFont="1" applyFill="1" applyBorder="1" applyAlignment="1">
      <alignment horizontal="left" vertical="center" wrapText="1"/>
    </xf>
    <xf numFmtId="0" fontId="16" fillId="35" borderId="28" xfId="0" applyFont="1" applyFill="1" applyBorder="1" applyAlignment="1">
      <alignment horizontal="left" vertical="center" wrapText="1"/>
    </xf>
    <xf numFmtId="39" fontId="16" fillId="35" borderId="29" xfId="0" applyNumberFormat="1" applyFont="1" applyFill="1" applyBorder="1" applyAlignment="1">
      <alignment horizontal="right" vertical="center" wrapText="1"/>
    </xf>
    <xf numFmtId="0" fontId="16" fillId="35" borderId="30" xfId="0" applyFont="1" applyFill="1" applyBorder="1" applyAlignment="1">
      <alignment horizontal="left" vertical="center" wrapText="1"/>
    </xf>
    <xf numFmtId="0" fontId="16" fillId="35" borderId="25" xfId="0" applyFont="1" applyFill="1" applyBorder="1" applyAlignment="1">
      <alignment horizontal="left" vertical="center" wrapText="1"/>
    </xf>
    <xf numFmtId="39" fontId="16" fillId="35" borderId="31" xfId="0" applyNumberFormat="1" applyFont="1" applyFill="1" applyBorder="1" applyAlignment="1">
      <alignment horizontal="right" vertical="center" wrapText="1"/>
    </xf>
    <xf numFmtId="0" fontId="16" fillId="35" borderId="32" xfId="0" applyFont="1" applyFill="1" applyBorder="1" applyAlignment="1">
      <alignment horizontal="left" vertical="center" wrapText="1"/>
    </xf>
    <xf numFmtId="0" fontId="16" fillId="35" borderId="33" xfId="0" applyFont="1" applyFill="1" applyBorder="1" applyAlignment="1">
      <alignment horizontal="left" vertical="center" wrapText="1"/>
    </xf>
    <xf numFmtId="0" fontId="17" fillId="35" borderId="33" xfId="0" applyFont="1" applyFill="1" applyBorder="1" applyAlignment="1">
      <alignment horizontal="left" vertical="center" wrapText="1"/>
    </xf>
    <xf numFmtId="39" fontId="17" fillId="35" borderId="34" xfId="0" applyNumberFormat="1" applyFont="1" applyFill="1" applyBorder="1" applyAlignment="1">
      <alignment horizontal="right" vertical="center" wrapText="1"/>
    </xf>
    <xf numFmtId="0" fontId="16" fillId="36" borderId="27" xfId="0" applyFont="1" applyFill="1" applyBorder="1" applyAlignment="1">
      <alignment horizontal="left" vertical="center" wrapText="1"/>
    </xf>
    <xf numFmtId="0" fontId="16" fillId="36" borderId="28" xfId="0" applyFont="1" applyFill="1" applyBorder="1" applyAlignment="1">
      <alignment horizontal="left" vertical="center" wrapText="1"/>
    </xf>
    <xf numFmtId="39" fontId="16" fillId="36" borderId="29" xfId="0" applyNumberFormat="1" applyFont="1" applyFill="1" applyBorder="1" applyAlignment="1">
      <alignment horizontal="right" vertical="center" wrapText="1"/>
    </xf>
    <xf numFmtId="0" fontId="16" fillId="36" borderId="30" xfId="0" applyFont="1" applyFill="1" applyBorder="1" applyAlignment="1">
      <alignment horizontal="left" vertical="center" wrapText="1"/>
    </xf>
    <xf numFmtId="0" fontId="16" fillId="36" borderId="25" xfId="0" applyFont="1" applyFill="1" applyBorder="1" applyAlignment="1">
      <alignment horizontal="left" vertical="center" wrapText="1"/>
    </xf>
    <xf numFmtId="39" fontId="16" fillId="36" borderId="31" xfId="0" applyNumberFormat="1" applyFont="1" applyFill="1" applyBorder="1" applyAlignment="1">
      <alignment horizontal="right" vertical="center" wrapText="1"/>
    </xf>
    <xf numFmtId="0" fontId="16" fillId="36" borderId="32" xfId="0" applyFont="1" applyFill="1" applyBorder="1" applyAlignment="1">
      <alignment horizontal="left" vertical="center" wrapText="1"/>
    </xf>
    <xf numFmtId="0" fontId="16" fillId="36" borderId="33" xfId="0" applyFont="1" applyFill="1" applyBorder="1" applyAlignment="1">
      <alignment horizontal="left" vertical="center" wrapText="1"/>
    </xf>
    <xf numFmtId="0" fontId="17" fillId="36" borderId="33" xfId="0" applyFont="1" applyFill="1" applyBorder="1" applyAlignment="1">
      <alignment horizontal="left" vertical="center" wrapText="1"/>
    </xf>
    <xf numFmtId="39" fontId="17" fillId="36" borderId="34" xfId="0" applyNumberFormat="1" applyFont="1" applyFill="1" applyBorder="1" applyAlignment="1">
      <alignment horizontal="right" vertical="center" wrapText="1"/>
    </xf>
    <xf numFmtId="0" fontId="16" fillId="34" borderId="23" xfId="0" applyFont="1" applyFill="1" applyBorder="1" applyAlignment="1">
      <alignment horizontal="left" vertical="center" wrapText="1"/>
    </xf>
    <xf numFmtId="39" fontId="16" fillId="34" borderId="23" xfId="0" applyNumberFormat="1" applyFont="1" applyFill="1" applyBorder="1" applyAlignment="1">
      <alignment horizontal="right" vertical="center" wrapText="1"/>
    </xf>
    <xf numFmtId="0" fontId="35" fillId="34" borderId="25" xfId="0" applyFont="1" applyFill="1" applyBorder="1" applyAlignment="1">
      <alignment horizontal="left" vertical="center" wrapText="1"/>
    </xf>
    <xf numFmtId="39" fontId="35" fillId="34" borderId="25" xfId="0" applyNumberFormat="1" applyFont="1" applyFill="1" applyBorder="1" applyAlignment="1">
      <alignment horizontal="right" vertical="center" wrapText="1"/>
    </xf>
    <xf numFmtId="0" fontId="35" fillId="37" borderId="25" xfId="0" applyFont="1" applyFill="1" applyBorder="1" applyAlignment="1">
      <alignment horizontal="left" vertical="center" wrapText="1"/>
    </xf>
    <xf numFmtId="39" fontId="35" fillId="37" borderId="25" xfId="0" applyNumberFormat="1" applyFont="1" applyFill="1" applyBorder="1" applyAlignment="1">
      <alignment horizontal="right" vertical="center" wrapText="1"/>
    </xf>
    <xf numFmtId="39" fontId="36" fillId="30" borderId="25" xfId="0" applyNumberFormat="1" applyFont="1" applyFill="1" applyBorder="1" applyAlignment="1">
      <alignment horizontal="right" vertical="center" wrapText="1"/>
    </xf>
    <xf numFmtId="0" fontId="26" fillId="38" borderId="25" xfId="0" applyFont="1" applyFill="1" applyBorder="1" applyAlignment="1">
      <alignment horizontal="left" vertical="center" wrapText="1"/>
    </xf>
    <xf numFmtId="39" fontId="26" fillId="38" borderId="25" xfId="0" applyNumberFormat="1" applyFont="1" applyFill="1" applyBorder="1" applyAlignment="1">
      <alignment horizontal="right" vertical="center" wrapText="1"/>
    </xf>
    <xf numFmtId="0" fontId="27" fillId="38" borderId="25" xfId="0" applyFont="1" applyFill="1" applyBorder="1" applyAlignment="1">
      <alignment horizontal="left" vertical="center" wrapText="1"/>
    </xf>
    <xf numFmtId="39" fontId="27" fillId="38" borderId="25" xfId="0" applyNumberFormat="1" applyFont="1" applyFill="1" applyBorder="1" applyAlignment="1">
      <alignment horizontal="right" vertical="center" wrapText="1"/>
    </xf>
    <xf numFmtId="0" fontId="26" fillId="24" borderId="25" xfId="0" applyFont="1" applyFill="1" applyBorder="1" applyAlignment="1">
      <alignment horizontal="left" vertical="center" wrapText="1"/>
    </xf>
    <xf numFmtId="39" fontId="26" fillId="24" borderId="25" xfId="0" applyNumberFormat="1" applyFont="1" applyFill="1" applyBorder="1" applyAlignment="1">
      <alignment horizontal="right" vertical="center" wrapText="1"/>
    </xf>
    <xf numFmtId="0" fontId="27" fillId="24" borderId="25" xfId="0" applyFont="1" applyFill="1" applyBorder="1" applyAlignment="1">
      <alignment horizontal="left" vertical="center" wrapText="1"/>
    </xf>
    <xf numFmtId="39" fontId="27" fillId="24" borderId="25" xfId="0" applyNumberFormat="1" applyFont="1" applyFill="1" applyBorder="1" applyAlignment="1">
      <alignment horizontal="right" vertical="center" wrapText="1"/>
    </xf>
    <xf numFmtId="0" fontId="31" fillId="24" borderId="25" xfId="0" applyFont="1" applyFill="1" applyBorder="1" applyAlignment="1">
      <alignment horizontal="left" vertical="center" wrapText="1"/>
    </xf>
    <xf numFmtId="39" fontId="31" fillId="24" borderId="25" xfId="0" applyNumberFormat="1" applyFont="1" applyFill="1" applyBorder="1" applyAlignment="1">
      <alignment horizontal="right" vertical="center" wrapText="1"/>
    </xf>
    <xf numFmtId="0" fontId="31" fillId="38" borderId="25" xfId="0" applyFont="1" applyFill="1" applyBorder="1" applyAlignment="1">
      <alignment horizontal="left" vertical="center" wrapText="1"/>
    </xf>
    <xf numFmtId="39" fontId="31" fillId="38" borderId="25" xfId="0" applyNumberFormat="1" applyFont="1" applyFill="1" applyBorder="1" applyAlignment="1">
      <alignment horizontal="right" vertical="center" wrapText="1"/>
    </xf>
    <xf numFmtId="0" fontId="30" fillId="24" borderId="25" xfId="0" applyFont="1" applyFill="1" applyBorder="1" applyAlignment="1">
      <alignment horizontal="left" vertical="center" wrapText="1"/>
    </xf>
    <xf numFmtId="39" fontId="30" fillId="24" borderId="25" xfId="0" applyNumberFormat="1" applyFont="1" applyFill="1" applyBorder="1" applyAlignment="1">
      <alignment horizontal="right" vertical="center" wrapText="1"/>
    </xf>
    <xf numFmtId="0" fontId="26" fillId="39" borderId="25" xfId="0" applyFont="1" applyFill="1" applyBorder="1" applyAlignment="1">
      <alignment horizontal="left" vertical="center" wrapText="1"/>
    </xf>
    <xf numFmtId="39" fontId="26" fillId="39" borderId="25" xfId="0" applyNumberFormat="1" applyFont="1" applyFill="1" applyBorder="1" applyAlignment="1">
      <alignment horizontal="right" vertical="center" wrapText="1"/>
    </xf>
    <xf numFmtId="0" fontId="31" fillId="39" borderId="25" xfId="0" applyFont="1" applyFill="1" applyBorder="1" applyAlignment="1">
      <alignment horizontal="left" vertical="center" wrapText="1"/>
    </xf>
    <xf numFmtId="39" fontId="31" fillId="39" borderId="25" xfId="0" applyNumberFormat="1" applyFont="1" applyFill="1" applyBorder="1" applyAlignment="1">
      <alignment horizontal="right" vertical="center" wrapText="1"/>
    </xf>
    <xf numFmtId="0" fontId="27" fillId="39" borderId="25" xfId="0" applyFont="1" applyFill="1" applyBorder="1" applyAlignment="1">
      <alignment horizontal="left" vertical="center" wrapText="1"/>
    </xf>
    <xf numFmtId="39" fontId="27" fillId="39" borderId="25" xfId="0" applyNumberFormat="1" applyFont="1" applyFill="1" applyBorder="1" applyAlignment="1">
      <alignment horizontal="right" vertical="center" wrapText="1"/>
    </xf>
    <xf numFmtId="0" fontId="30" fillId="39" borderId="25" xfId="0" applyFont="1" applyFill="1" applyBorder="1" applyAlignment="1">
      <alignment horizontal="left" vertical="center" wrapText="1"/>
    </xf>
    <xf numFmtId="39" fontId="30" fillId="39" borderId="25" xfId="0" applyNumberFormat="1" applyFont="1" applyFill="1" applyBorder="1" applyAlignment="1">
      <alignment horizontal="right" vertical="center" wrapText="1"/>
    </xf>
    <xf numFmtId="0" fontId="16" fillId="31" borderId="25" xfId="0" applyFont="1" applyFill="1" applyBorder="1" applyAlignment="1">
      <alignment horizontal="left" vertical="center" wrapText="1"/>
    </xf>
    <xf numFmtId="39" fontId="16" fillId="31" borderId="25" xfId="0" applyNumberFormat="1" applyFont="1" applyFill="1" applyBorder="1" applyAlignment="1">
      <alignment horizontal="right" vertical="center" wrapText="1"/>
    </xf>
    <xf numFmtId="0" fontId="37" fillId="31" borderId="25" xfId="0" applyFont="1" applyFill="1" applyBorder="1" applyAlignment="1">
      <alignment horizontal="left" vertical="center" wrapText="1"/>
    </xf>
    <xf numFmtId="39" fontId="37" fillId="31" borderId="25" xfId="0" applyNumberFormat="1" applyFont="1" applyFill="1" applyBorder="1" applyAlignment="1">
      <alignment horizontal="right" vertical="center" wrapText="1"/>
    </xf>
    <xf numFmtId="0" fontId="38" fillId="31" borderId="25" xfId="0" applyFont="1" applyFill="1" applyBorder="1" applyAlignment="1">
      <alignment horizontal="left" vertical="center" wrapText="1"/>
    </xf>
    <xf numFmtId="39" fontId="38" fillId="31" borderId="25" xfId="0" applyNumberFormat="1" applyFont="1" applyFill="1" applyBorder="1" applyAlignment="1">
      <alignment horizontal="right" vertical="center" wrapText="1"/>
    </xf>
    <xf numFmtId="0" fontId="39" fillId="31" borderId="25" xfId="0" applyFont="1" applyFill="1" applyBorder="1" applyAlignment="1">
      <alignment horizontal="left" vertical="center" wrapText="1"/>
    </xf>
    <xf numFmtId="39" fontId="39" fillId="31" borderId="25" xfId="0" applyNumberFormat="1" applyFont="1" applyFill="1" applyBorder="1" applyAlignment="1">
      <alignment horizontal="right" vertical="center" wrapText="1"/>
    </xf>
    <xf numFmtId="0" fontId="16" fillId="40" borderId="25" xfId="0" applyFont="1" applyFill="1" applyBorder="1" applyAlignment="1">
      <alignment horizontal="left" vertical="center" wrapText="1"/>
    </xf>
    <xf numFmtId="39" fontId="16" fillId="40" borderId="25" xfId="0" applyNumberFormat="1" applyFont="1" applyFill="1" applyBorder="1" applyAlignment="1">
      <alignment horizontal="right" vertical="center" wrapText="1"/>
    </xf>
    <xf numFmtId="0" fontId="40" fillId="40" borderId="25" xfId="0" applyFont="1" applyFill="1" applyBorder="1" applyAlignment="1">
      <alignment horizontal="left" vertical="center" wrapText="1"/>
    </xf>
    <xf numFmtId="39" fontId="40" fillId="40" borderId="25" xfId="0" applyNumberFormat="1" applyFont="1" applyFill="1" applyBorder="1" applyAlignment="1">
      <alignment horizontal="right" vertical="center" wrapText="1"/>
    </xf>
    <xf numFmtId="0" fontId="38" fillId="40" borderId="25" xfId="0" applyFont="1" applyFill="1" applyBorder="1" applyAlignment="1">
      <alignment horizontal="left" vertical="center" wrapText="1"/>
    </xf>
    <xf numFmtId="39" fontId="38" fillId="40" borderId="25" xfId="0" applyNumberFormat="1" applyFont="1" applyFill="1" applyBorder="1" applyAlignment="1">
      <alignment horizontal="right" vertical="center" wrapText="1"/>
    </xf>
    <xf numFmtId="0" fontId="37" fillId="40" borderId="25" xfId="0" applyFont="1" applyFill="1" applyBorder="1" applyAlignment="1">
      <alignment horizontal="left" vertical="center" wrapText="1"/>
    </xf>
    <xf numFmtId="39" fontId="37" fillId="40" borderId="25" xfId="0" applyNumberFormat="1" applyFont="1" applyFill="1" applyBorder="1" applyAlignment="1">
      <alignment horizontal="right" vertical="center" wrapText="1"/>
    </xf>
    <xf numFmtId="0" fontId="16" fillId="41" borderId="25" xfId="0" applyFont="1" applyFill="1" applyBorder="1" applyAlignment="1">
      <alignment horizontal="left" vertical="center" wrapText="1"/>
    </xf>
    <xf numFmtId="39" fontId="16" fillId="41" borderId="25" xfId="0" applyNumberFormat="1" applyFont="1" applyFill="1" applyBorder="1" applyAlignment="1">
      <alignment horizontal="right" vertical="center" wrapText="1"/>
    </xf>
    <xf numFmtId="0" fontId="40" fillId="41" borderId="25" xfId="0" applyFont="1" applyFill="1" applyBorder="1" applyAlignment="1">
      <alignment horizontal="left" vertical="center" wrapText="1"/>
    </xf>
    <xf numFmtId="39" fontId="40" fillId="41" borderId="25" xfId="0" applyNumberFormat="1" applyFont="1" applyFill="1" applyBorder="1" applyAlignment="1">
      <alignment horizontal="right" vertical="center" wrapText="1"/>
    </xf>
    <xf numFmtId="0" fontId="38" fillId="41" borderId="25" xfId="0" applyFont="1" applyFill="1" applyBorder="1" applyAlignment="1">
      <alignment horizontal="left" vertical="center" wrapText="1"/>
    </xf>
    <xf numFmtId="39" fontId="38" fillId="41" borderId="25" xfId="0" applyNumberFormat="1" applyFont="1" applyFill="1" applyBorder="1" applyAlignment="1">
      <alignment horizontal="right" vertical="center" wrapText="1"/>
    </xf>
    <xf numFmtId="0" fontId="39" fillId="41" borderId="25" xfId="0" applyFont="1" applyFill="1" applyBorder="1" applyAlignment="1">
      <alignment horizontal="left" vertical="center" wrapText="1"/>
    </xf>
    <xf numFmtId="39" fontId="39" fillId="41" borderId="25" xfId="0" applyNumberFormat="1" applyFont="1" applyFill="1" applyBorder="1" applyAlignment="1">
      <alignment horizontal="right" vertical="center" wrapText="1"/>
    </xf>
    <xf numFmtId="0" fontId="16" fillId="42" borderId="25" xfId="0" applyFont="1" applyFill="1" applyBorder="1" applyAlignment="1">
      <alignment horizontal="left" vertical="center" wrapText="1"/>
    </xf>
    <xf numFmtId="39" fontId="16" fillId="42" borderId="25" xfId="0" applyNumberFormat="1" applyFont="1" applyFill="1" applyBorder="1" applyAlignment="1">
      <alignment horizontal="right" vertical="center" wrapText="1"/>
    </xf>
    <xf numFmtId="0" fontId="40" fillId="42" borderId="25" xfId="0" applyFont="1" applyFill="1" applyBorder="1" applyAlignment="1">
      <alignment horizontal="left" vertical="center" wrapText="1"/>
    </xf>
    <xf numFmtId="39" fontId="40" fillId="42" borderId="25" xfId="0" applyNumberFormat="1" applyFont="1" applyFill="1" applyBorder="1" applyAlignment="1">
      <alignment horizontal="right" vertical="center" wrapText="1"/>
    </xf>
    <xf numFmtId="0" fontId="38" fillId="42" borderId="25" xfId="0" applyFont="1" applyFill="1" applyBorder="1" applyAlignment="1">
      <alignment horizontal="left" vertical="center" wrapText="1"/>
    </xf>
    <xf numFmtId="39" fontId="38" fillId="42" borderId="25" xfId="0" applyNumberFormat="1" applyFont="1" applyFill="1" applyBorder="1" applyAlignment="1">
      <alignment horizontal="right" vertical="center" wrapText="1"/>
    </xf>
    <xf numFmtId="0" fontId="39" fillId="42" borderId="25" xfId="0" applyFont="1" applyFill="1" applyBorder="1" applyAlignment="1">
      <alignment horizontal="left" vertical="center" wrapText="1"/>
    </xf>
    <xf numFmtId="39" fontId="39" fillId="42" borderId="25" xfId="0" applyNumberFormat="1" applyFont="1" applyFill="1" applyBorder="1" applyAlignment="1">
      <alignment horizontal="right" vertical="center" wrapText="1"/>
    </xf>
    <xf numFmtId="39" fontId="41" fillId="43" borderId="25" xfId="0" applyNumberFormat="1" applyFont="1" applyFill="1" applyBorder="1" applyAlignment="1">
      <alignment horizontal="right" vertical="center" wrapText="1"/>
    </xf>
    <xf numFmtId="0" fontId="16" fillId="44" borderId="25" xfId="0" applyFont="1" applyFill="1" applyBorder="1" applyAlignment="1">
      <alignment horizontal="left" vertical="center" wrapText="1"/>
    </xf>
    <xf numFmtId="39" fontId="16" fillId="44" borderId="25" xfId="0" applyNumberFormat="1" applyFont="1" applyFill="1" applyBorder="1" applyAlignment="1">
      <alignment horizontal="right" vertical="center" wrapText="1"/>
    </xf>
    <xf numFmtId="0" fontId="37" fillId="44" borderId="25" xfId="0" applyFont="1" applyFill="1" applyBorder="1" applyAlignment="1">
      <alignment horizontal="left" vertical="center" wrapText="1"/>
    </xf>
    <xf numFmtId="39" fontId="37" fillId="44" borderId="25" xfId="0" applyNumberFormat="1" applyFont="1" applyFill="1" applyBorder="1" applyAlignment="1">
      <alignment horizontal="right" vertical="center" wrapText="1"/>
    </xf>
    <xf numFmtId="0" fontId="38" fillId="44" borderId="25" xfId="0" applyFont="1" applyFill="1" applyBorder="1" applyAlignment="1">
      <alignment horizontal="left" vertical="center" wrapText="1"/>
    </xf>
    <xf numFmtId="39" fontId="38" fillId="44" borderId="25" xfId="0" applyNumberFormat="1" applyFont="1" applyFill="1" applyBorder="1" applyAlignment="1">
      <alignment horizontal="right" vertical="center" wrapText="1"/>
    </xf>
    <xf numFmtId="0" fontId="39" fillId="44" borderId="25" xfId="0" applyFont="1" applyFill="1" applyBorder="1" applyAlignment="1">
      <alignment horizontal="left" vertical="center" wrapText="1"/>
    </xf>
    <xf numFmtId="39" fontId="39" fillId="44" borderId="25" xfId="0" applyNumberFormat="1" applyFont="1" applyFill="1" applyBorder="1" applyAlignment="1">
      <alignment horizontal="right" vertical="center" wrapText="1"/>
    </xf>
    <xf numFmtId="0" fontId="16" fillId="45" borderId="25" xfId="0" applyFont="1" applyFill="1" applyBorder="1" applyAlignment="1">
      <alignment horizontal="left" vertical="center" wrapText="1"/>
    </xf>
    <xf numFmtId="39" fontId="16" fillId="45" borderId="25" xfId="0" applyNumberFormat="1" applyFont="1" applyFill="1" applyBorder="1" applyAlignment="1">
      <alignment horizontal="right" vertical="center" wrapText="1"/>
    </xf>
    <xf numFmtId="0" fontId="37" fillId="45" borderId="25" xfId="0" applyFont="1" applyFill="1" applyBorder="1" applyAlignment="1">
      <alignment horizontal="left" vertical="center" wrapText="1"/>
    </xf>
    <xf numFmtId="39" fontId="37" fillId="45" borderId="25" xfId="0" applyNumberFormat="1" applyFont="1" applyFill="1" applyBorder="1" applyAlignment="1">
      <alignment horizontal="right" vertical="center" wrapText="1"/>
    </xf>
    <xf numFmtId="0" fontId="38" fillId="45" borderId="25" xfId="0" applyFont="1" applyFill="1" applyBorder="1" applyAlignment="1">
      <alignment horizontal="left" vertical="center" wrapText="1"/>
    </xf>
    <xf numFmtId="39" fontId="38" fillId="45" borderId="25" xfId="0" applyNumberFormat="1" applyFont="1" applyFill="1" applyBorder="1" applyAlignment="1">
      <alignment horizontal="right" vertical="center" wrapText="1"/>
    </xf>
    <xf numFmtId="0" fontId="39" fillId="45" borderId="25" xfId="0" applyFont="1" applyFill="1" applyBorder="1" applyAlignment="1">
      <alignment horizontal="left" vertical="center" wrapText="1"/>
    </xf>
    <xf numFmtId="39" fontId="39" fillId="45" borderId="25" xfId="0" applyNumberFormat="1" applyFont="1" applyFill="1" applyBorder="1" applyAlignment="1">
      <alignment horizontal="right" vertical="center" wrapText="1"/>
    </xf>
    <xf numFmtId="39" fontId="42" fillId="44" borderId="25" xfId="0" applyNumberFormat="1" applyFont="1" applyFill="1" applyBorder="1" applyAlignment="1">
      <alignment horizontal="right" vertical="center" wrapText="1"/>
    </xf>
    <xf numFmtId="0" fontId="17" fillId="21" borderId="25" xfId="0" applyFont="1" applyFill="1" applyBorder="1" applyAlignment="1">
      <alignment horizontal="left" vertical="center" wrapText="1"/>
    </xf>
    <xf numFmtId="0" fontId="17" fillId="46" borderId="25" xfId="0" applyFont="1" applyFill="1" applyBorder="1" applyAlignment="1">
      <alignment horizontal="left" vertical="center" wrapText="1"/>
    </xf>
    <xf numFmtId="0" fontId="16" fillId="47" borderId="25" xfId="0" applyFont="1" applyFill="1" applyBorder="1" applyAlignment="1">
      <alignment horizontal="left" vertical="center" wrapText="1"/>
    </xf>
    <xf numFmtId="0" fontId="17" fillId="48" borderId="25" xfId="0" applyFont="1" applyFill="1" applyBorder="1" applyAlignment="1">
      <alignment horizontal="left" vertical="center" wrapText="1"/>
    </xf>
    <xf numFmtId="0" fontId="16" fillId="22" borderId="39" xfId="0" applyFont="1" applyFill="1" applyBorder="1" applyAlignment="1">
      <alignment horizontal="left" vertical="center" wrapText="1"/>
    </xf>
    <xf numFmtId="0" fontId="16" fillId="22" borderId="24" xfId="0" applyFont="1" applyFill="1" applyBorder="1" applyAlignment="1">
      <alignment horizontal="left" vertical="center" wrapText="1"/>
    </xf>
    <xf numFmtId="39" fontId="18" fillId="22" borderId="24" xfId="0" applyNumberFormat="1" applyFont="1" applyFill="1" applyBorder="1" applyAlignment="1">
      <alignment horizontal="right" vertical="center" wrapText="1"/>
    </xf>
    <xf numFmtId="0" fontId="16" fillId="22" borderId="40" xfId="0" applyFont="1" applyFill="1" applyBorder="1" applyAlignment="1">
      <alignment horizontal="left" vertical="center" wrapText="1"/>
    </xf>
    <xf numFmtId="39" fontId="19" fillId="22" borderId="40" xfId="0" applyNumberFormat="1" applyFont="1" applyFill="1" applyBorder="1" applyAlignment="1">
      <alignment horizontal="right" vertical="center" wrapText="1"/>
    </xf>
    <xf numFmtId="0" fontId="16" fillId="40" borderId="23" xfId="0" applyFont="1" applyFill="1" applyBorder="1" applyAlignment="1">
      <alignment horizontal="left" vertical="center" wrapText="1"/>
    </xf>
    <xf numFmtId="39" fontId="18" fillId="40" borderId="23" xfId="0" applyNumberFormat="1" applyFont="1" applyFill="1" applyBorder="1" applyAlignment="1">
      <alignment horizontal="right" vertical="center" wrapText="1"/>
    </xf>
    <xf numFmtId="166" fontId="0" fillId="0" borderId="0" xfId="0" applyNumberFormat="1"/>
    <xf numFmtId="0" fontId="41" fillId="43" borderId="35" xfId="0" applyFont="1" applyFill="1" applyBorder="1" applyAlignment="1">
      <alignment horizontal="right" vertical="center" wrapText="1"/>
    </xf>
    <xf numFmtId="0" fontId="41" fillId="43" borderId="36" xfId="0" applyFont="1" applyFill="1" applyBorder="1" applyAlignment="1">
      <alignment horizontal="right" vertical="center" wrapText="1"/>
    </xf>
    <xf numFmtId="0" fontId="41" fillId="43" borderId="37" xfId="0" applyFont="1" applyFill="1" applyBorder="1" applyAlignment="1">
      <alignment horizontal="right" vertical="center" wrapText="1"/>
    </xf>
    <xf numFmtId="0" fontId="9" fillId="0" borderId="8" xfId="0" applyFont="1" applyBorder="1" applyAlignment="1">
      <alignment horizontal="center"/>
    </xf>
    <xf numFmtId="0" fontId="26" fillId="31" borderId="22" xfId="0" applyFont="1" applyFill="1" applyBorder="1" applyAlignment="1">
      <alignment horizontal="center" vertical="center" wrapText="1"/>
    </xf>
    <xf numFmtId="0" fontId="26" fillId="24" borderId="22" xfId="0" applyFont="1" applyFill="1" applyBorder="1" applyAlignment="1">
      <alignment horizontal="center" vertical="center" wrapText="1"/>
    </xf>
    <xf numFmtId="0" fontId="26" fillId="30" borderId="22" xfId="0" applyFont="1" applyFill="1" applyBorder="1" applyAlignment="1">
      <alignment horizontal="center" vertical="center" wrapText="1"/>
    </xf>
    <xf numFmtId="0" fontId="17" fillId="19" borderId="24" xfId="0" applyFont="1" applyFill="1" applyBorder="1" applyAlignment="1">
      <alignment horizontal="center" vertical="center" wrapText="1"/>
    </xf>
    <xf numFmtId="0" fontId="17" fillId="26" borderId="22" xfId="0" applyFont="1" applyFill="1" applyBorder="1" applyAlignment="1">
      <alignment horizontal="center" vertical="center" wrapText="1"/>
    </xf>
    <xf numFmtId="0" fontId="17" fillId="27" borderId="22" xfId="0" applyFont="1" applyFill="1" applyBorder="1" applyAlignment="1">
      <alignment horizontal="center" vertical="center" wrapText="1"/>
    </xf>
    <xf numFmtId="0" fontId="17" fillId="28" borderId="22" xfId="0" applyFont="1" applyFill="1" applyBorder="1" applyAlignment="1">
      <alignment horizontal="center" vertical="center" wrapText="1"/>
    </xf>
    <xf numFmtId="0" fontId="17" fillId="29" borderId="22" xfId="0" applyFont="1" applyFill="1" applyBorder="1" applyAlignment="1">
      <alignment horizontal="center" vertical="center" wrapText="1"/>
    </xf>
    <xf numFmtId="0" fontId="17" fillId="22" borderId="22" xfId="0" applyFont="1" applyFill="1" applyBorder="1" applyAlignment="1">
      <alignment horizontal="center" vertical="center" wrapText="1"/>
    </xf>
    <xf numFmtId="0" fontId="36" fillId="30" borderId="35" xfId="0" applyFont="1" applyFill="1" applyBorder="1" applyAlignment="1">
      <alignment horizontal="center" vertical="center" wrapText="1"/>
    </xf>
    <xf numFmtId="0" fontId="36" fillId="30" borderId="36" xfId="0" applyFont="1" applyFill="1" applyBorder="1" applyAlignment="1">
      <alignment horizontal="center" vertical="center" wrapText="1"/>
    </xf>
    <xf numFmtId="0" fontId="36" fillId="30" borderId="37" xfId="0" applyFont="1" applyFill="1" applyBorder="1" applyAlignment="1">
      <alignment horizontal="center" vertical="center" wrapText="1"/>
    </xf>
    <xf numFmtId="0" fontId="41" fillId="44" borderId="35" xfId="0" applyFont="1" applyFill="1" applyBorder="1" applyAlignment="1">
      <alignment horizontal="right" vertical="center" wrapText="1"/>
    </xf>
    <xf numFmtId="0" fontId="41" fillId="44" borderId="36" xfId="0" applyFont="1" applyFill="1" applyBorder="1" applyAlignment="1">
      <alignment horizontal="right" vertical="center" wrapText="1"/>
    </xf>
    <xf numFmtId="0" fontId="41" fillId="44" borderId="37" xfId="0" applyFont="1" applyFill="1" applyBorder="1" applyAlignment="1">
      <alignment horizontal="right" vertical="center" wrapText="1"/>
    </xf>
    <xf numFmtId="17" fontId="5" fillId="6" borderId="26" xfId="0" applyNumberFormat="1" applyFont="1" applyFill="1" applyBorder="1" applyAlignment="1">
      <alignment horizontal="center"/>
    </xf>
    <xf numFmtId="17" fontId="5" fillId="6" borderId="0" xfId="0" applyNumberFormat="1" applyFont="1" applyFill="1" applyAlignment="1">
      <alignment horizontal="center"/>
    </xf>
    <xf numFmtId="0" fontId="15" fillId="15" borderId="38" xfId="0" applyFont="1" applyFill="1" applyBorder="1" applyAlignment="1">
      <alignment horizontal="center"/>
    </xf>
    <xf numFmtId="0" fontId="15" fillId="15" borderId="0" xfId="0" applyFont="1" applyFill="1" applyAlignment="1">
      <alignment horizontal="center"/>
    </xf>
    <xf numFmtId="17" fontId="14" fillId="6" borderId="19" xfId="0" applyNumberFormat="1" applyFont="1" applyFill="1" applyBorder="1" applyAlignment="1">
      <alignment horizontal="center"/>
    </xf>
    <xf numFmtId="17" fontId="14" fillId="6" borderId="8" xfId="0" applyNumberFormat="1" applyFont="1" applyFill="1" applyBorder="1" applyAlignment="1">
      <alignment horizontal="center"/>
    </xf>
    <xf numFmtId="17" fontId="14" fillId="6" borderId="20" xfId="0" applyNumberFormat="1" applyFont="1" applyFill="1" applyBorder="1" applyAlignment="1">
      <alignment horizontal="center"/>
    </xf>
    <xf numFmtId="17" fontId="5" fillId="6" borderId="18" xfId="0" applyNumberFormat="1" applyFont="1" applyFill="1" applyBorder="1" applyAlignment="1">
      <alignment horizontal="center"/>
    </xf>
    <xf numFmtId="17" fontId="5" fillId="6" borderId="8" xfId="0" applyNumberFormat="1" applyFont="1" applyFill="1" applyBorder="1" applyAlignment="1">
      <alignment horizontal="center"/>
    </xf>
    <xf numFmtId="17" fontId="5" fillId="6" borderId="19" xfId="0" applyNumberFormat="1" applyFont="1" applyFill="1" applyBorder="1" applyAlignment="1">
      <alignment horizontal="center"/>
    </xf>
    <xf numFmtId="17" fontId="5" fillId="6" borderId="9" xfId="0" applyNumberFormat="1" applyFont="1" applyFill="1" applyBorder="1" applyAlignment="1">
      <alignment horizontal="center"/>
    </xf>
    <xf numFmtId="0" fontId="16" fillId="22" borderId="41" xfId="0" applyFont="1" applyFill="1" applyBorder="1" applyAlignment="1">
      <alignment horizontal="left" vertical="center" wrapText="1"/>
    </xf>
    <xf numFmtId="0" fontId="16" fillId="22" borderId="42" xfId="0" applyFont="1" applyFill="1" applyBorder="1" applyAlignment="1">
      <alignment horizontal="left" vertical="center" wrapText="1"/>
    </xf>
    <xf numFmtId="39" fontId="18" fillId="22" borderId="42" xfId="0" applyNumberFormat="1" applyFont="1" applyFill="1" applyBorder="1" applyAlignment="1">
      <alignment horizontal="right" vertical="center" wrapText="1"/>
    </xf>
    <xf numFmtId="39" fontId="18" fillId="22" borderId="43" xfId="0" applyNumberFormat="1" applyFont="1" applyFill="1" applyBorder="1" applyAlignment="1">
      <alignment horizontal="right" vertical="center" wrapText="1"/>
    </xf>
  </cellXfs>
  <cellStyles count="3">
    <cellStyle name="Currency" xfId="1" builtinId="4"/>
    <cellStyle name="Normal" xfId="0" builtinId="0"/>
    <cellStyle name="Percent" xfId="2" builtinId="5"/>
  </cellStyles>
  <dxfs count="3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2" formatCode="mmm/yy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2" formatCode="mmm/yy"/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2" formatCode="mmm/yy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2" formatCode="mmm/yy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2" formatCode="mmm/yy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2" formatCode="mmm/yy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2" formatCode="mmm/yy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2" formatCode="mmm/yy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2" formatCode="mmm/yy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2" formatCode="mmm/yy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2" formatCode="mmm/yy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2" formatCode="mmm/yy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-[$R$-416]\ * #,##0.00_-;\-[$R$-416]\ * #,##0.00_-;_-[$R$-416]\ * &quot;-&quot;??_-;_-@_-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2" formatCode="mmm/yy"/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22" formatCode="mmm/yy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21B47A-5BC3-4D3B-B160-3F184DE8E2F6}" name="Tabela4" displayName="Tabela4" ref="A1:N17" headerRowCount="0" totalsRowShown="0" headerRowDxfId="36" dataDxfId="34" headerRowBorderDxfId="35" tableBorderDxfId="33" totalsRowBorderDxfId="32">
  <tableColumns count="14">
    <tableColumn id="1" xr3:uid="{5BE05AA6-7E5F-45B3-A2A6-096B3D2C08D4}" name="Coluna1" headerRowDxfId="31" dataDxfId="30"/>
    <tableColumn id="2" xr3:uid="{CBFF4DE9-CC43-4E63-898C-4729699431E8}" name="Coluna2" headerRowDxfId="29" dataDxfId="28"/>
    <tableColumn id="3" xr3:uid="{5DE7AF72-806E-4DBA-91BF-E3AF6121029B}" name="Coluna3" headerRowDxfId="27" dataDxfId="26"/>
    <tableColumn id="4" xr3:uid="{87EF825A-DA17-4441-B83F-64004E5BA63F}" name="Coluna4" headerRowDxfId="25" dataDxfId="24"/>
    <tableColumn id="5" xr3:uid="{EB02663E-0535-4A25-B7A7-B017F3136646}" name="Coluna5" headerRowDxfId="23" dataDxfId="22"/>
    <tableColumn id="6" xr3:uid="{9A6813F5-6C1D-44BD-867E-FB245CA58F4D}" name="Coluna6" headerRowDxfId="21" dataDxfId="20"/>
    <tableColumn id="7" xr3:uid="{7C182987-A078-4A99-B535-D9477C0C3CF3}" name="Coluna7" headerRowDxfId="19" dataDxfId="18"/>
    <tableColumn id="8" xr3:uid="{99591EDA-0E5A-4248-AFAD-035120A9B77F}" name="Coluna8" headerRowDxfId="17" dataDxfId="16"/>
    <tableColumn id="9" xr3:uid="{C803DCD3-648F-44AD-954A-77DC06890AD2}" name="Coluna9" headerRowDxfId="15" dataDxfId="14"/>
    <tableColumn id="10" xr3:uid="{E7ED413E-4344-483A-BB00-592E4B6DEE88}" name="Coluna10" headerRowDxfId="13" dataDxfId="12"/>
    <tableColumn id="11" xr3:uid="{CB568DC7-09B6-4C5C-9A05-95290B9B8359}" name="Coluna11" headerRowDxfId="11" dataDxfId="10"/>
    <tableColumn id="12" xr3:uid="{5B04C460-8590-4BBD-99D5-43AEA85E45C9}" name="Coluna12" headerRowDxfId="9" dataDxfId="8"/>
    <tableColumn id="13" xr3:uid="{F8F77032-F771-4A57-A4B1-F218013D193D}" name="Coluna13" headerRowDxfId="7" dataDxfId="6"/>
    <tableColumn id="14" xr3:uid="{3412B79B-3B44-4045-91E5-1C6C56561D52}" name="Coluna14" headerRowDxfId="5" dataDxfId="4"/>
  </tableColumns>
  <tableStyleInfo name="TableStyleMedium2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7064D-360E-4304-9BAF-DB57A7E1AD39}">
  <dimension ref="A1:N17"/>
  <sheetViews>
    <sheetView zoomScaleNormal="100" workbookViewId="0">
      <pane xSplit="1" topLeftCell="F1" activePane="topRight" state="frozen"/>
      <selection pane="topRight" activeCell="M9" sqref="M9"/>
    </sheetView>
  </sheetViews>
  <sheetFormatPr baseColWidth="10" defaultColWidth="8.83203125" defaultRowHeight="15"/>
  <cols>
    <col min="1" max="1" width="19.6640625" customWidth="1"/>
    <col min="2" max="2" width="19.1640625" customWidth="1"/>
    <col min="3" max="3" width="18.83203125" customWidth="1"/>
    <col min="4" max="4" width="19.5" customWidth="1"/>
    <col min="5" max="5" width="19.33203125" customWidth="1"/>
    <col min="6" max="6" width="17.33203125" bestFit="1" customWidth="1"/>
    <col min="7" max="7" width="19.33203125" customWidth="1"/>
    <col min="8" max="8" width="18.83203125" customWidth="1"/>
    <col min="9" max="9" width="18.33203125" customWidth="1"/>
    <col min="10" max="10" width="17.1640625" customWidth="1"/>
    <col min="11" max="11" width="19.6640625" customWidth="1"/>
    <col min="12" max="12" width="17.1640625" customWidth="1"/>
    <col min="13" max="13" width="25.1640625" customWidth="1"/>
    <col min="14" max="14" width="32.83203125" bestFit="1" customWidth="1"/>
  </cols>
  <sheetData>
    <row r="1" spans="1:14" ht="16">
      <c r="A1" s="5"/>
      <c r="B1" s="3">
        <v>44927</v>
      </c>
      <c r="C1" s="3">
        <v>44958</v>
      </c>
      <c r="D1" s="3">
        <v>44986</v>
      </c>
      <c r="E1" s="3">
        <v>45017</v>
      </c>
      <c r="F1" s="3">
        <v>45047</v>
      </c>
      <c r="G1" s="3">
        <v>45078</v>
      </c>
      <c r="H1" s="3">
        <v>45108</v>
      </c>
      <c r="I1" s="3">
        <v>45139</v>
      </c>
      <c r="J1" s="3">
        <v>45170</v>
      </c>
      <c r="K1" s="3">
        <v>45200</v>
      </c>
      <c r="L1" s="3">
        <v>45231</v>
      </c>
      <c r="M1" s="7" t="s">
        <v>17</v>
      </c>
      <c r="N1" s="27" t="s">
        <v>16</v>
      </c>
    </row>
    <row r="2" spans="1:14" ht="16">
      <c r="A2" s="6" t="s">
        <v>0</v>
      </c>
      <c r="B2" s="16">
        <v>21171.84</v>
      </c>
      <c r="C2" s="16">
        <v>19240.23</v>
      </c>
      <c r="D2" s="16">
        <v>16771.560000000001</v>
      </c>
      <c r="E2" s="16">
        <v>41149.589999999997</v>
      </c>
      <c r="F2" s="20">
        <v>31138.05</v>
      </c>
      <c r="G2" s="20">
        <v>43495.61</v>
      </c>
      <c r="H2" s="20">
        <v>55809.27</v>
      </c>
      <c r="I2" s="20">
        <v>65247.95</v>
      </c>
      <c r="J2" s="20">
        <v>56333.49</v>
      </c>
      <c r="K2" s="20">
        <v>50148.56</v>
      </c>
      <c r="L2" s="20">
        <v>74218.899999999994</v>
      </c>
      <c r="M2" s="26">
        <v>29106.42</v>
      </c>
      <c r="N2" s="20">
        <v>39538.79</v>
      </c>
    </row>
    <row r="3" spans="1:14" ht="16">
      <c r="A3" s="6" t="s">
        <v>1</v>
      </c>
      <c r="B3" s="16">
        <v>178.43</v>
      </c>
      <c r="C3" s="16">
        <v>159.68</v>
      </c>
      <c r="D3" s="16">
        <v>144.9</v>
      </c>
      <c r="E3" s="16">
        <v>390.23</v>
      </c>
      <c r="F3" s="20">
        <v>219.2</v>
      </c>
      <c r="G3" s="20">
        <v>330.51</v>
      </c>
      <c r="H3" s="20">
        <v>613.88</v>
      </c>
      <c r="I3" s="20">
        <v>460.99</v>
      </c>
      <c r="J3" s="20">
        <v>419.72</v>
      </c>
      <c r="K3" s="20">
        <v>370.72</v>
      </c>
      <c r="L3" s="20">
        <v>607.79</v>
      </c>
      <c r="M3" s="26">
        <v>579.38</v>
      </c>
      <c r="N3" s="41">
        <v>698.21</v>
      </c>
    </row>
    <row r="4" spans="1:14" ht="16">
      <c r="A4" s="6" t="s">
        <v>11</v>
      </c>
      <c r="B4" s="18"/>
      <c r="C4" s="2"/>
      <c r="D4" s="2"/>
      <c r="E4" s="18"/>
      <c r="F4" s="25"/>
      <c r="G4" s="20">
        <v>172.1</v>
      </c>
      <c r="H4" s="20">
        <v>173.61</v>
      </c>
      <c r="I4" s="20">
        <v>192.65</v>
      </c>
      <c r="J4" s="20">
        <v>247.38</v>
      </c>
      <c r="K4" s="20">
        <v>278.23</v>
      </c>
      <c r="L4" s="20">
        <v>330.71</v>
      </c>
      <c r="M4" s="26">
        <v>350.47</v>
      </c>
      <c r="N4" s="20">
        <v>387.92</v>
      </c>
    </row>
    <row r="5" spans="1:14" ht="16">
      <c r="A5" s="6" t="s">
        <v>10</v>
      </c>
      <c r="B5" s="16">
        <v>62.07</v>
      </c>
      <c r="C5" s="16">
        <v>123.25</v>
      </c>
      <c r="D5" s="16">
        <v>105.87</v>
      </c>
      <c r="E5" s="16">
        <v>173.44</v>
      </c>
      <c r="F5" s="20">
        <v>152.58000000000001</v>
      </c>
      <c r="G5" s="20">
        <v>17.239999999999998</v>
      </c>
      <c r="H5" s="20">
        <v>13.32</v>
      </c>
      <c r="I5" s="20">
        <v>12.26</v>
      </c>
      <c r="J5" s="20">
        <v>12.33</v>
      </c>
      <c r="K5" s="20">
        <v>10.84</v>
      </c>
      <c r="L5" s="20">
        <v>11.47</v>
      </c>
      <c r="M5" s="26">
        <v>11.03</v>
      </c>
      <c r="N5" s="20">
        <v>11.15</v>
      </c>
    </row>
    <row r="6" spans="1:14" ht="16">
      <c r="A6" s="6" t="s">
        <v>12</v>
      </c>
      <c r="B6" s="18"/>
      <c r="C6" s="18"/>
      <c r="D6" s="18"/>
      <c r="E6" s="18"/>
      <c r="F6" s="25"/>
      <c r="G6" s="25"/>
      <c r="H6" s="20">
        <v>341.44</v>
      </c>
      <c r="I6" s="20">
        <v>170.72</v>
      </c>
      <c r="J6" s="20">
        <v>1894.68</v>
      </c>
      <c r="K6" s="20">
        <v>341.6</v>
      </c>
      <c r="L6" s="20">
        <v>341.6</v>
      </c>
      <c r="M6" s="26">
        <v>345.26</v>
      </c>
      <c r="N6" s="20">
        <v>345.26</v>
      </c>
    </row>
    <row r="7" spans="1:14" ht="16">
      <c r="A7" s="6" t="s">
        <v>14</v>
      </c>
      <c r="B7" s="17">
        <v>1247.6500000000001</v>
      </c>
      <c r="C7" s="16">
        <v>249.81</v>
      </c>
      <c r="D7" s="16">
        <v>1187.22</v>
      </c>
      <c r="E7" s="19">
        <v>991.27</v>
      </c>
      <c r="F7" s="20">
        <v>3967.92</v>
      </c>
      <c r="G7" s="20">
        <v>1118.31</v>
      </c>
      <c r="H7" s="20">
        <v>1154.75</v>
      </c>
      <c r="I7" s="20">
        <v>1084.2</v>
      </c>
      <c r="J7" s="20">
        <v>1198.3800000000001</v>
      </c>
      <c r="K7" s="20">
        <v>1200.1500000000001</v>
      </c>
      <c r="L7" s="20">
        <v>1207.8599999999999</v>
      </c>
      <c r="M7" s="26">
        <v>1453.45</v>
      </c>
      <c r="N7" s="20">
        <v>1361.95</v>
      </c>
    </row>
    <row r="8" spans="1:14" ht="16">
      <c r="A8" s="6" t="s">
        <v>13</v>
      </c>
      <c r="B8" s="2"/>
      <c r="C8" s="2"/>
      <c r="D8" s="2"/>
      <c r="E8" s="2"/>
      <c r="F8" s="2"/>
      <c r="G8" s="2"/>
      <c r="H8" s="1"/>
      <c r="I8" s="2"/>
      <c r="J8" s="1"/>
      <c r="K8" s="1"/>
      <c r="L8" s="1"/>
      <c r="M8" s="8"/>
      <c r="N8" s="2"/>
    </row>
    <row r="9" spans="1:14" ht="16">
      <c r="A9" s="6" t="s">
        <v>15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43">
        <v>149223.51999999999</v>
      </c>
      <c r="N9" s="2"/>
    </row>
    <row r="10" spans="1:14" ht="16">
      <c r="A10" s="6" t="s">
        <v>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8"/>
      <c r="N10" s="2"/>
    </row>
    <row r="11" spans="1:14" s="24" customFormat="1">
      <c r="A11" s="21" t="s">
        <v>3</v>
      </c>
      <c r="B11" s="22">
        <f t="shared" ref="B11:N11" si="0">SUM(B2:B10)</f>
        <v>22659.99</v>
      </c>
      <c r="C11" s="22">
        <f t="shared" si="0"/>
        <v>19772.97</v>
      </c>
      <c r="D11" s="22">
        <f t="shared" si="0"/>
        <v>18209.550000000003</v>
      </c>
      <c r="E11" s="22">
        <f t="shared" si="0"/>
        <v>42704.53</v>
      </c>
      <c r="F11" s="22">
        <f t="shared" si="0"/>
        <v>35477.75</v>
      </c>
      <c r="G11" s="22">
        <f t="shared" si="0"/>
        <v>45133.77</v>
      </c>
      <c r="H11" s="22">
        <f t="shared" si="0"/>
        <v>58106.27</v>
      </c>
      <c r="I11" s="22">
        <f t="shared" si="0"/>
        <v>67168.76999999999</v>
      </c>
      <c r="J11" s="22">
        <f t="shared" si="0"/>
        <v>60105.979999999996</v>
      </c>
      <c r="K11" s="22">
        <f t="shared" si="0"/>
        <v>52350.1</v>
      </c>
      <c r="L11" s="22">
        <f>SUM(L2:L10)</f>
        <v>76718.33</v>
      </c>
      <c r="M11" s="23">
        <f t="shared" si="0"/>
        <v>181069.53</v>
      </c>
      <c r="N11" s="23">
        <f t="shared" si="0"/>
        <v>42343.28</v>
      </c>
    </row>
    <row r="12" spans="1:14" ht="16">
      <c r="A12" s="6" t="s">
        <v>4</v>
      </c>
      <c r="B12" s="16">
        <v>10000</v>
      </c>
      <c r="C12" s="16">
        <v>10000</v>
      </c>
      <c r="D12" s="16">
        <v>10000</v>
      </c>
      <c r="E12" s="18">
        <v>10000</v>
      </c>
      <c r="F12" s="18">
        <v>10000</v>
      </c>
      <c r="G12" s="2">
        <v>5000</v>
      </c>
      <c r="H12" s="2">
        <v>0</v>
      </c>
      <c r="I12" s="2"/>
      <c r="J12" s="2"/>
      <c r="K12" s="2"/>
      <c r="L12" s="2"/>
      <c r="M12" s="9"/>
      <c r="N12" s="2"/>
    </row>
    <row r="13" spans="1:14" ht="16">
      <c r="A13" s="6" t="s">
        <v>5</v>
      </c>
      <c r="B13" s="1">
        <v>0</v>
      </c>
      <c r="C13" s="16">
        <v>1500</v>
      </c>
      <c r="D13" s="16">
        <v>1500</v>
      </c>
      <c r="E13" s="18">
        <v>1500</v>
      </c>
      <c r="F13" s="18">
        <v>1500</v>
      </c>
      <c r="G13" s="2">
        <v>1500</v>
      </c>
      <c r="H13" s="2">
        <v>1500</v>
      </c>
      <c r="I13" s="2"/>
      <c r="J13" s="2"/>
      <c r="K13" s="2"/>
      <c r="L13" s="2"/>
      <c r="M13" s="9"/>
      <c r="N13" s="2"/>
    </row>
    <row r="14" spans="1:14" ht="16">
      <c r="A14" s="5" t="s">
        <v>6</v>
      </c>
      <c r="B14" s="2">
        <f>SUM(B11:B13)</f>
        <v>32659.99</v>
      </c>
      <c r="C14" s="2">
        <f t="shared" ref="C14:M14" si="1">SUM(C11:C13)</f>
        <v>31272.97</v>
      </c>
      <c r="D14" s="2">
        <f t="shared" si="1"/>
        <v>29709.550000000003</v>
      </c>
      <c r="E14" s="2">
        <f t="shared" si="1"/>
        <v>54204.53</v>
      </c>
      <c r="F14" s="2">
        <f t="shared" si="1"/>
        <v>46977.75</v>
      </c>
      <c r="G14" s="2">
        <f>SUM(G11:G13)</f>
        <v>51633.77</v>
      </c>
      <c r="H14" s="2">
        <f t="shared" si="1"/>
        <v>59606.27</v>
      </c>
      <c r="I14" s="2">
        <f t="shared" si="1"/>
        <v>67168.76999999999</v>
      </c>
      <c r="J14" s="2">
        <f t="shared" si="1"/>
        <v>60105.979999999996</v>
      </c>
      <c r="K14" s="2">
        <f t="shared" si="1"/>
        <v>52350.1</v>
      </c>
      <c r="L14" s="2">
        <f t="shared" si="1"/>
        <v>76718.33</v>
      </c>
      <c r="M14" s="9">
        <f t="shared" si="1"/>
        <v>181069.53</v>
      </c>
      <c r="N14" s="9">
        <f t="shared" ref="N14" si="2">SUM(N11:N13)</f>
        <v>42343.28</v>
      </c>
    </row>
    <row r="15" spans="1:14" ht="16">
      <c r="A15" s="6" t="s">
        <v>7</v>
      </c>
      <c r="B15" s="2">
        <v>23080000</v>
      </c>
      <c r="C15" s="2">
        <v>26745000</v>
      </c>
      <c r="D15" s="2">
        <v>29480000</v>
      </c>
      <c r="E15" s="2">
        <v>33520000</v>
      </c>
      <c r="F15" s="2">
        <v>37498000</v>
      </c>
      <c r="G15" s="2">
        <v>38685000</v>
      </c>
      <c r="H15" s="2">
        <v>40950000</v>
      </c>
      <c r="I15" s="2">
        <v>44160000</v>
      </c>
      <c r="J15" s="2">
        <v>48000000</v>
      </c>
      <c r="K15" s="2">
        <v>51000000</v>
      </c>
      <c r="L15" s="2">
        <v>55000000</v>
      </c>
      <c r="M15" s="9">
        <v>59600000</v>
      </c>
      <c r="N15" s="9">
        <v>59600000</v>
      </c>
    </row>
    <row r="16" spans="1:14" ht="16">
      <c r="A16" s="5" t="s">
        <v>8</v>
      </c>
      <c r="B16" s="14">
        <f>B14/B15</f>
        <v>1.4150775563258233E-3</v>
      </c>
      <c r="C16" s="14">
        <f t="shared" ref="C16:D16" si="3">C14/C15</f>
        <v>1.169301551691905E-3</v>
      </c>
      <c r="D16" s="14">
        <f t="shared" si="3"/>
        <v>1.0077866350067844E-3</v>
      </c>
      <c r="E16" s="14">
        <f t="shared" ref="E16" si="4">E14/E15</f>
        <v>1.6170802505966588E-3</v>
      </c>
      <c r="F16" s="14">
        <f t="shared" ref="F16" si="5">F14/F15</f>
        <v>1.2528068163635395E-3</v>
      </c>
      <c r="G16" s="14">
        <f>G14/G15</f>
        <v>1.3347232777562361E-3</v>
      </c>
      <c r="H16" s="14">
        <f t="shared" ref="H16" si="6">H14/H15</f>
        <v>1.4555865689865688E-3</v>
      </c>
      <c r="I16" s="14">
        <f t="shared" ref="I16" si="7">I14/I15</f>
        <v>1.5210319293478259E-3</v>
      </c>
      <c r="J16" s="4">
        <f t="shared" ref="J16" si="8">J14/J15</f>
        <v>1.2522079166666666E-3</v>
      </c>
      <c r="K16" s="4">
        <f t="shared" ref="K16" si="9">K14/K15</f>
        <v>1.0264725490196078E-3</v>
      </c>
      <c r="L16" s="4">
        <f t="shared" ref="L16" si="10">L14/L15</f>
        <v>1.3948787272727273E-3</v>
      </c>
      <c r="M16" s="10">
        <f t="shared" ref="M16:N16" si="11">M14/M15</f>
        <v>3.0380793624161075E-3</v>
      </c>
      <c r="N16" s="10">
        <f t="shared" si="11"/>
        <v>7.1045771812080539E-4</v>
      </c>
    </row>
    <row r="17" spans="1:14" ht="16">
      <c r="A17" s="13" t="s">
        <v>9</v>
      </c>
      <c r="B17" s="15">
        <f>B11/B15</f>
        <v>9.8180199306759108E-4</v>
      </c>
      <c r="C17" s="15">
        <f t="shared" ref="C17:M17" si="12">C11/C15</f>
        <v>7.3931463825014027E-4</v>
      </c>
      <c r="D17" s="15">
        <f t="shared" si="12"/>
        <v>6.1769165535956595E-4</v>
      </c>
      <c r="E17" s="15">
        <f t="shared" si="12"/>
        <v>1.2740014916467781E-3</v>
      </c>
      <c r="F17" s="15">
        <f t="shared" si="12"/>
        <v>9.4612379326897437E-4</v>
      </c>
      <c r="G17" s="15">
        <f>G11/G15</f>
        <v>1.1666994959286545E-3</v>
      </c>
      <c r="H17" s="15">
        <f t="shared" si="12"/>
        <v>1.4189565323565322E-3</v>
      </c>
      <c r="I17" s="15">
        <f t="shared" si="12"/>
        <v>1.5210319293478259E-3</v>
      </c>
      <c r="J17" s="11">
        <f t="shared" si="12"/>
        <v>1.2522079166666666E-3</v>
      </c>
      <c r="K17" s="11">
        <f t="shared" si="12"/>
        <v>1.0264725490196078E-3</v>
      </c>
      <c r="L17" s="11">
        <f t="shared" si="12"/>
        <v>1.3948787272727273E-3</v>
      </c>
      <c r="M17" s="12">
        <f t="shared" si="12"/>
        <v>3.0380793624161075E-3</v>
      </c>
      <c r="N17" s="12">
        <f t="shared" ref="N17" si="13">N11/N15</f>
        <v>7.1045771812080539E-4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B2429-19BC-4CC8-8293-51A84FB12E38}">
  <dimension ref="A1:M29"/>
  <sheetViews>
    <sheetView zoomScale="85" zoomScaleNormal="85" workbookViewId="0">
      <selection activeCell="E29" sqref="E29"/>
    </sheetView>
  </sheetViews>
  <sheetFormatPr baseColWidth="10" defaultColWidth="8.83203125" defaultRowHeight="15"/>
  <cols>
    <col min="1" max="1" width="24.5" bestFit="1" customWidth="1"/>
    <col min="2" max="2" width="16.83203125" bestFit="1" customWidth="1"/>
    <col min="3" max="3" width="18.1640625" bestFit="1" customWidth="1"/>
    <col min="4" max="4" width="17.83203125" customWidth="1"/>
    <col min="5" max="5" width="23.5" style="50" customWidth="1"/>
    <col min="6" max="6" width="17.6640625" customWidth="1"/>
    <col min="7" max="7" width="23.5" customWidth="1"/>
    <col min="8" max="8" width="17.83203125" style="50" customWidth="1"/>
    <col min="9" max="9" width="16.83203125" bestFit="1" customWidth="1"/>
    <col min="10" max="11" width="18" bestFit="1" customWidth="1"/>
    <col min="12" max="13" width="20.1640625" customWidth="1"/>
  </cols>
  <sheetData>
    <row r="1" spans="1:13">
      <c r="B1" t="s">
        <v>19</v>
      </c>
    </row>
    <row r="2" spans="1:13" ht="16">
      <c r="A2" s="28"/>
      <c r="B2" s="29">
        <v>45292</v>
      </c>
      <c r="C2" s="29">
        <v>45323</v>
      </c>
      <c r="D2" s="29">
        <v>45352</v>
      </c>
      <c r="E2" s="53">
        <v>45383</v>
      </c>
      <c r="F2" s="29">
        <v>45413</v>
      </c>
      <c r="G2" s="29">
        <v>45444</v>
      </c>
      <c r="H2" s="53">
        <v>45474</v>
      </c>
      <c r="I2" s="29">
        <v>45505</v>
      </c>
      <c r="J2" s="53">
        <v>45536</v>
      </c>
      <c r="K2" s="53">
        <v>45566</v>
      </c>
      <c r="L2" s="29">
        <v>45597</v>
      </c>
      <c r="M2" s="53">
        <v>45627</v>
      </c>
    </row>
    <row r="3" spans="1:13" ht="16">
      <c r="A3" s="30" t="s">
        <v>0</v>
      </c>
      <c r="B3" s="42">
        <v>40775.620000000003</v>
      </c>
      <c r="C3" s="44">
        <v>44953.78</v>
      </c>
      <c r="D3" s="46">
        <v>50625.77</v>
      </c>
      <c r="E3" s="48">
        <v>108764.6</v>
      </c>
      <c r="F3" s="62">
        <v>91275.57</v>
      </c>
      <c r="G3" s="62">
        <v>52222</v>
      </c>
      <c r="H3" s="62">
        <v>87483.09</v>
      </c>
      <c r="I3" s="62">
        <v>136491.32</v>
      </c>
      <c r="J3" s="44">
        <v>56611.33</v>
      </c>
      <c r="K3" s="44">
        <v>92979.398440930046</v>
      </c>
      <c r="L3" s="44">
        <v>32980.550000000003</v>
      </c>
      <c r="M3" s="44">
        <v>52553.57</v>
      </c>
    </row>
    <row r="4" spans="1:13" ht="16">
      <c r="A4" s="32" t="s">
        <v>1</v>
      </c>
      <c r="B4" s="42">
        <v>132.59</v>
      </c>
      <c r="C4" s="42">
        <v>1356.67</v>
      </c>
      <c r="D4" s="46">
        <v>1045.26</v>
      </c>
      <c r="E4" s="48">
        <v>952.49</v>
      </c>
      <c r="F4" s="62">
        <v>1165.51</v>
      </c>
      <c r="G4" s="62">
        <v>758.72</v>
      </c>
      <c r="H4" s="62">
        <v>760.09</v>
      </c>
      <c r="I4" s="62">
        <v>1195.8599999999999</v>
      </c>
      <c r="J4" s="44">
        <v>1178.5899999999999</v>
      </c>
      <c r="K4" s="44">
        <v>4065.18</v>
      </c>
      <c r="L4" s="44">
        <v>896.12</v>
      </c>
      <c r="M4" s="44">
        <v>3516.39</v>
      </c>
    </row>
    <row r="5" spans="1:13" ht="16">
      <c r="A5" s="30" t="s">
        <v>11</v>
      </c>
      <c r="B5" s="20">
        <v>503.73</v>
      </c>
      <c r="C5" s="20">
        <v>449.24</v>
      </c>
      <c r="D5" s="45">
        <v>1199.42</v>
      </c>
      <c r="E5" s="48">
        <v>1566.51</v>
      </c>
      <c r="F5" s="62">
        <v>1558.71</v>
      </c>
      <c r="G5" s="62">
        <v>1055.27</v>
      </c>
      <c r="H5" s="62">
        <v>1244.1099999999999</v>
      </c>
      <c r="I5" s="62">
        <v>1262.98</v>
      </c>
      <c r="J5" s="44">
        <v>1152.51</v>
      </c>
      <c r="K5" s="44">
        <v>1459.85</v>
      </c>
      <c r="L5" s="44">
        <v>1322.18</v>
      </c>
      <c r="M5" s="44">
        <v>1529.8892000000012</v>
      </c>
    </row>
    <row r="6" spans="1:13" ht="16">
      <c r="A6" s="32" t="s">
        <v>10</v>
      </c>
      <c r="B6" s="42">
        <v>18.63</v>
      </c>
      <c r="C6" s="42">
        <v>19.68</v>
      </c>
      <c r="D6" s="46">
        <v>10.97</v>
      </c>
      <c r="E6" s="48">
        <v>11.34</v>
      </c>
      <c r="F6" s="62">
        <v>12.63</v>
      </c>
      <c r="G6" s="62">
        <v>11.92</v>
      </c>
      <c r="H6" s="62">
        <v>14.05</v>
      </c>
      <c r="I6" s="62"/>
      <c r="J6" s="44">
        <v>27.14</v>
      </c>
      <c r="K6" s="44">
        <v>14.12</v>
      </c>
      <c r="L6" s="44">
        <v>5.75</v>
      </c>
      <c r="M6" s="44"/>
    </row>
    <row r="7" spans="1:13" ht="16">
      <c r="A7" s="30" t="s">
        <v>12</v>
      </c>
      <c r="B7" s="44">
        <v>345.26</v>
      </c>
      <c r="C7" s="42">
        <v>517.97</v>
      </c>
      <c r="D7" s="46">
        <v>517.80999999999995</v>
      </c>
      <c r="E7" s="48">
        <v>517.80999999999995</v>
      </c>
      <c r="F7" s="62">
        <v>219.55</v>
      </c>
      <c r="G7" s="62">
        <v>219.55</v>
      </c>
      <c r="H7" s="62"/>
      <c r="I7" s="85"/>
      <c r="J7" s="86"/>
      <c r="K7" s="86"/>
      <c r="L7" s="86"/>
      <c r="M7" s="44"/>
    </row>
    <row r="8" spans="1:13" ht="16">
      <c r="A8" s="32" t="s">
        <v>14</v>
      </c>
      <c r="B8" s="42">
        <v>1821.02</v>
      </c>
      <c r="C8" s="42">
        <v>1678.7</v>
      </c>
      <c r="D8" s="46">
        <v>1814.35</v>
      </c>
      <c r="E8" s="48">
        <v>2294.36</v>
      </c>
      <c r="F8" s="62">
        <v>2070.81</v>
      </c>
      <c r="G8" s="62">
        <v>1740.42</v>
      </c>
      <c r="H8" s="62">
        <v>3337.47</v>
      </c>
      <c r="I8" s="62"/>
      <c r="J8" s="44">
        <v>2262.96</v>
      </c>
      <c r="K8" s="44">
        <v>3390.07</v>
      </c>
      <c r="L8" s="44">
        <v>2504.3000000000002</v>
      </c>
      <c r="M8" s="44">
        <v>16109.402800000002</v>
      </c>
    </row>
    <row r="9" spans="1:13" ht="16">
      <c r="A9" s="30" t="s">
        <v>13</v>
      </c>
      <c r="B9" s="33"/>
      <c r="C9" s="33"/>
      <c r="D9" s="47"/>
      <c r="E9" s="48">
        <v>200.56</v>
      </c>
      <c r="F9" s="62">
        <v>29.25</v>
      </c>
      <c r="G9" s="62">
        <v>29.25</v>
      </c>
      <c r="H9" s="62">
        <v>29.25</v>
      </c>
      <c r="I9" s="62"/>
      <c r="J9" s="44"/>
      <c r="K9" s="44"/>
      <c r="L9" s="44"/>
      <c r="M9" s="44"/>
    </row>
    <row r="10" spans="1:13" ht="16">
      <c r="A10" s="32" t="s">
        <v>15</v>
      </c>
      <c r="B10" s="34"/>
      <c r="C10" s="34"/>
      <c r="D10" s="34"/>
      <c r="E10" s="48">
        <v>166192.71</v>
      </c>
      <c r="F10" s="34"/>
      <c r="G10" s="34"/>
      <c r="H10" s="34"/>
      <c r="I10" s="65"/>
      <c r="J10" s="65"/>
      <c r="K10" s="65"/>
      <c r="L10" s="65"/>
      <c r="M10" s="65">
        <v>200838.1</v>
      </c>
    </row>
    <row r="11" spans="1:13" ht="16">
      <c r="A11" s="32" t="s">
        <v>18</v>
      </c>
      <c r="B11" s="20">
        <v>3377.5</v>
      </c>
      <c r="C11" s="20">
        <v>11850</v>
      </c>
      <c r="D11" s="48">
        <v>2700</v>
      </c>
      <c r="E11" s="48">
        <v>750</v>
      </c>
      <c r="F11" s="51"/>
      <c r="G11" s="48">
        <v>600</v>
      </c>
      <c r="H11" s="44">
        <v>675</v>
      </c>
      <c r="I11" s="51">
        <v>675</v>
      </c>
      <c r="J11" s="51">
        <v>0</v>
      </c>
      <c r="K11" s="51"/>
      <c r="L11" s="51"/>
      <c r="M11" s="51"/>
    </row>
    <row r="12" spans="1:13" ht="16">
      <c r="A12" s="32" t="s">
        <v>20</v>
      </c>
      <c r="B12" s="20"/>
      <c r="C12" s="20"/>
      <c r="D12" s="48"/>
      <c r="E12" s="48"/>
      <c r="F12" s="51"/>
      <c r="G12" s="48">
        <v>7729.24</v>
      </c>
      <c r="H12" s="44">
        <v>4000</v>
      </c>
      <c r="I12" s="68">
        <v>9007.15</v>
      </c>
      <c r="J12" s="44">
        <v>19907.150000000001</v>
      </c>
      <c r="K12" s="44">
        <v>21030.400000000001</v>
      </c>
      <c r="L12" s="44">
        <v>30177.91</v>
      </c>
      <c r="M12" s="44">
        <v>14923.25</v>
      </c>
    </row>
    <row r="13" spans="1:13" ht="16">
      <c r="A13" s="32" t="s">
        <v>21</v>
      </c>
      <c r="B13" s="20"/>
      <c r="C13" s="20"/>
      <c r="D13" s="48"/>
      <c r="E13" s="48"/>
      <c r="F13" s="51"/>
      <c r="G13" s="69">
        <v>720</v>
      </c>
      <c r="H13" s="44">
        <v>2911.16</v>
      </c>
      <c r="I13" s="44">
        <v>751.16</v>
      </c>
      <c r="J13" s="44">
        <v>1502.32</v>
      </c>
      <c r="K13" s="84">
        <v>751.16</v>
      </c>
      <c r="L13" s="44">
        <v>751.16</v>
      </c>
      <c r="M13" s="44">
        <v>751.16</v>
      </c>
    </row>
    <row r="14" spans="1:13" ht="16">
      <c r="A14" s="30" t="s">
        <v>30</v>
      </c>
      <c r="B14" s="35">
        <f>4016.26*5</f>
        <v>20081.300000000003</v>
      </c>
      <c r="C14" s="35">
        <f>228.62*5</f>
        <v>1143.0999999999999</v>
      </c>
      <c r="D14" s="35"/>
      <c r="E14" s="35"/>
      <c r="F14" s="35"/>
      <c r="G14" s="35"/>
      <c r="H14" s="51"/>
      <c r="I14" s="59"/>
      <c r="J14" s="67">
        <v>1379.09</v>
      </c>
      <c r="K14" s="51"/>
      <c r="L14" s="51"/>
      <c r="M14" s="51"/>
    </row>
    <row r="15" spans="1:13" ht="16">
      <c r="A15" s="30" t="s">
        <v>28</v>
      </c>
      <c r="B15" s="35"/>
      <c r="C15" s="35"/>
      <c r="D15" s="35"/>
      <c r="E15" s="35"/>
      <c r="F15" s="35"/>
      <c r="G15" s="35"/>
      <c r="H15" s="44">
        <v>5070.3599999999997</v>
      </c>
      <c r="I15" s="59"/>
      <c r="J15" s="51">
        <v>0</v>
      </c>
      <c r="K15" s="51"/>
      <c r="L15" s="51"/>
      <c r="M15" s="51"/>
    </row>
    <row r="16" spans="1:13" ht="16">
      <c r="A16" s="30" t="s">
        <v>29</v>
      </c>
      <c r="B16" s="35"/>
      <c r="C16" s="35"/>
      <c r="D16" s="35"/>
      <c r="E16" s="35"/>
      <c r="F16" s="35"/>
      <c r="G16" s="35"/>
      <c r="H16" s="67"/>
      <c r="I16" s="59"/>
      <c r="J16" s="44">
        <v>375.04</v>
      </c>
      <c r="K16" s="51"/>
      <c r="L16" s="51"/>
      <c r="M16" s="51"/>
    </row>
    <row r="17" spans="1:13">
      <c r="A17" s="36" t="s">
        <v>3</v>
      </c>
      <c r="B17" s="22">
        <f>SUM(B3:B14)</f>
        <v>67055.649999999994</v>
      </c>
      <c r="C17" s="22">
        <f t="shared" ref="C17:M17" si="0">SUM(C3:C14)</f>
        <v>61969.139999999992</v>
      </c>
      <c r="D17" s="23">
        <f t="shared" si="0"/>
        <v>57913.579999999994</v>
      </c>
      <c r="E17" s="55">
        <f t="shared" si="0"/>
        <v>281250.38</v>
      </c>
      <c r="F17" s="55">
        <f t="shared" si="0"/>
        <v>96332.030000000013</v>
      </c>
      <c r="G17" s="55">
        <f t="shared" si="0"/>
        <v>65086.369999999995</v>
      </c>
      <c r="H17" s="63">
        <f t="shared" si="0"/>
        <v>100454.22</v>
      </c>
      <c r="I17" s="63">
        <f t="shared" si="0"/>
        <v>149383.47</v>
      </c>
      <c r="J17" s="63">
        <f t="shared" si="0"/>
        <v>84021.09</v>
      </c>
      <c r="K17" s="63">
        <f t="shared" si="0"/>
        <v>123690.17844093006</v>
      </c>
      <c r="L17" s="63">
        <f t="shared" si="0"/>
        <v>68637.970000000016</v>
      </c>
      <c r="M17" s="63">
        <f t="shared" si="0"/>
        <v>290221.76199999999</v>
      </c>
    </row>
    <row r="18" spans="1:13" ht="16">
      <c r="A18" s="30" t="s">
        <v>4</v>
      </c>
      <c r="B18" s="31">
        <v>0</v>
      </c>
      <c r="C18" s="31">
        <v>0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</row>
    <row r="19" spans="1:13" ht="16">
      <c r="A19" s="32" t="s">
        <v>5</v>
      </c>
      <c r="B19" s="37">
        <v>0</v>
      </c>
      <c r="C19" s="37">
        <v>0</v>
      </c>
      <c r="D19" s="37"/>
      <c r="E19" s="37"/>
      <c r="F19" s="37"/>
      <c r="G19" s="37"/>
      <c r="H19" s="37"/>
      <c r="I19" s="37"/>
      <c r="J19" s="66"/>
      <c r="K19" s="66"/>
      <c r="L19" s="66"/>
      <c r="M19" s="66"/>
    </row>
    <row r="20" spans="1:13" ht="16">
      <c r="A20" s="38" t="s">
        <v>6</v>
      </c>
      <c r="B20" s="33">
        <f>SUM(B17:B19)</f>
        <v>67055.649999999994</v>
      </c>
      <c r="C20" s="33">
        <f>SUM(C17:C19)</f>
        <v>61969.139999999992</v>
      </c>
      <c r="D20" s="49">
        <f>SUM(D17:D19)</f>
        <v>57913.579999999994</v>
      </c>
      <c r="E20" s="52">
        <f>SUM(E17:E19)</f>
        <v>281250.38</v>
      </c>
      <c r="F20" s="52">
        <f t="shared" ref="F20:G20" si="1">SUM(F17:F19)</f>
        <v>96332.030000000013</v>
      </c>
      <c r="G20" s="52">
        <f t="shared" si="1"/>
        <v>65086.369999999995</v>
      </c>
      <c r="H20" s="52">
        <f t="shared" ref="H20:J20" si="2">SUM(H17:H19)</f>
        <v>100454.22</v>
      </c>
      <c r="I20" s="52">
        <f t="shared" si="2"/>
        <v>149383.47</v>
      </c>
      <c r="J20" s="52">
        <f t="shared" si="2"/>
        <v>84021.09</v>
      </c>
      <c r="K20" s="52">
        <f t="shared" ref="K20:L20" si="3">SUM(K17:K19)</f>
        <v>123690.17844093006</v>
      </c>
      <c r="L20" s="52">
        <f t="shared" si="3"/>
        <v>68637.970000000016</v>
      </c>
      <c r="M20" s="52">
        <f>SUM(M17:M19)</f>
        <v>290221.76199999999</v>
      </c>
    </row>
    <row r="21" spans="1:13" ht="16">
      <c r="A21" s="32" t="s">
        <v>7</v>
      </c>
      <c r="B21" s="34">
        <v>58000000</v>
      </c>
      <c r="C21" s="34">
        <v>62000000</v>
      </c>
      <c r="D21" s="34">
        <v>66000000</v>
      </c>
      <c r="E21" s="34">
        <v>69000000</v>
      </c>
      <c r="F21" s="34">
        <v>78000000</v>
      </c>
      <c r="G21" s="56">
        <v>81000000</v>
      </c>
      <c r="H21" s="56">
        <v>84000000</v>
      </c>
      <c r="I21" s="56">
        <v>99000000</v>
      </c>
      <c r="J21" s="56">
        <v>87000000</v>
      </c>
      <c r="K21" s="56">
        <v>99000000</v>
      </c>
      <c r="L21" s="56">
        <v>104000000</v>
      </c>
      <c r="M21" s="56">
        <v>125000000</v>
      </c>
    </row>
    <row r="22" spans="1:13" ht="16">
      <c r="A22" s="38" t="s">
        <v>8</v>
      </c>
      <c r="B22" s="39">
        <f>B20/B21</f>
        <v>1.156131896551724E-3</v>
      </c>
      <c r="C22" s="39">
        <f>C20/C21</f>
        <v>9.9950225806451592E-4</v>
      </c>
      <c r="D22" s="39">
        <f>D20/D21</f>
        <v>8.7747848484848472E-4</v>
      </c>
      <c r="E22" s="60">
        <f>E20/E21</f>
        <v>4.0760924637681158E-3</v>
      </c>
      <c r="F22" s="60">
        <f t="shared" ref="F22:G22" si="4">F20/F21</f>
        <v>1.2350260256410257E-3</v>
      </c>
      <c r="G22" s="60">
        <f t="shared" si="4"/>
        <v>8.0353543209876538E-4</v>
      </c>
      <c r="H22" s="60">
        <f t="shared" ref="H22:J22" si="5">H20/H21</f>
        <v>1.1958835714285714E-3</v>
      </c>
      <c r="I22" s="60">
        <f t="shared" si="5"/>
        <v>1.5089239393939395E-3</v>
      </c>
      <c r="J22" s="60">
        <f t="shared" si="5"/>
        <v>9.6575965517241378E-4</v>
      </c>
      <c r="K22" s="60">
        <f t="shared" ref="K22:M22" si="6">K20/K21</f>
        <v>1.2493957418275763E-3</v>
      </c>
      <c r="L22" s="60">
        <f t="shared" si="6"/>
        <v>6.5998048076923096E-4</v>
      </c>
      <c r="M22" s="60">
        <f t="shared" si="6"/>
        <v>2.321774096E-3</v>
      </c>
    </row>
    <row r="23" spans="1:13" ht="16">
      <c r="A23" s="28"/>
      <c r="B23" s="40"/>
      <c r="C23" s="40"/>
      <c r="D23" s="40"/>
      <c r="E23" s="61"/>
      <c r="F23" s="58"/>
      <c r="G23" s="58"/>
      <c r="H23" s="58"/>
      <c r="I23" s="58"/>
      <c r="J23" s="58"/>
      <c r="K23" s="58"/>
      <c r="L23" s="58"/>
      <c r="M23" s="58"/>
    </row>
    <row r="27" spans="1:13">
      <c r="A27" t="s">
        <v>22</v>
      </c>
      <c r="B27" t="s">
        <v>23</v>
      </c>
    </row>
    <row r="28" spans="1:13">
      <c r="A28" t="s">
        <v>25</v>
      </c>
      <c r="B28" t="s">
        <v>24</v>
      </c>
    </row>
    <row r="29" spans="1:13">
      <c r="A29" t="s">
        <v>26</v>
      </c>
      <c r="B29" t="s">
        <v>27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B4B05-FA87-4681-AD19-5DE2EC7BB3E4}">
  <dimension ref="A1:M27"/>
  <sheetViews>
    <sheetView workbookViewId="0">
      <selection activeCell="A10" sqref="A10"/>
    </sheetView>
  </sheetViews>
  <sheetFormatPr baseColWidth="10" defaultColWidth="8.83203125" defaultRowHeight="15"/>
  <cols>
    <col min="1" max="1" width="24.5" bestFit="1" customWidth="1"/>
    <col min="2" max="3" width="16.83203125" bestFit="1" customWidth="1"/>
    <col min="4" max="4" width="17.83203125" customWidth="1"/>
    <col min="5" max="5" width="23.5" style="50" customWidth="1"/>
    <col min="6" max="6" width="17.6640625" customWidth="1"/>
    <col min="7" max="7" width="23.5" customWidth="1"/>
    <col min="8" max="8" width="17.83203125" style="50" customWidth="1"/>
    <col min="9" max="9" width="16.83203125" bestFit="1" customWidth="1"/>
    <col min="10" max="11" width="18" bestFit="1" customWidth="1"/>
    <col min="12" max="12" width="13.33203125" bestFit="1" customWidth="1"/>
    <col min="13" max="13" width="9.33203125" bestFit="1" customWidth="1"/>
  </cols>
  <sheetData>
    <row r="1" spans="1:13" ht="29">
      <c r="A1" s="394" t="s">
        <v>19</v>
      </c>
      <c r="B1" s="394"/>
      <c r="C1" s="394"/>
      <c r="D1" s="394"/>
      <c r="E1" s="394"/>
      <c r="F1" s="394"/>
      <c r="G1" s="394"/>
      <c r="H1" s="394"/>
      <c r="I1" s="394"/>
      <c r="J1" s="394"/>
      <c r="K1" s="394"/>
      <c r="L1" s="394"/>
      <c r="M1" s="394"/>
    </row>
    <row r="2" spans="1:13" ht="16">
      <c r="A2" s="28"/>
      <c r="B2" s="29">
        <v>45658</v>
      </c>
      <c r="C2" s="29">
        <v>45689</v>
      </c>
      <c r="D2" s="29">
        <v>45717</v>
      </c>
      <c r="E2" s="29">
        <v>45748</v>
      </c>
      <c r="F2" s="29">
        <v>45778</v>
      </c>
      <c r="G2" s="29">
        <v>45809</v>
      </c>
      <c r="H2" s="29">
        <v>45839</v>
      </c>
      <c r="I2" s="29">
        <v>45870</v>
      </c>
      <c r="J2" s="29">
        <v>45901</v>
      </c>
      <c r="K2" s="29">
        <v>45931</v>
      </c>
      <c r="L2" s="29">
        <v>45962</v>
      </c>
      <c r="M2" s="29">
        <v>45992</v>
      </c>
    </row>
    <row r="3" spans="1:13" ht="16">
      <c r="A3" s="30" t="s">
        <v>33</v>
      </c>
      <c r="B3" s="31">
        <v>54627.08</v>
      </c>
      <c r="C3" s="64"/>
      <c r="D3" s="71"/>
      <c r="E3" s="72"/>
      <c r="F3" s="73"/>
      <c r="G3" s="74"/>
      <c r="H3" s="64"/>
      <c r="I3" s="90"/>
      <c r="J3" s="90"/>
      <c r="K3" s="90"/>
      <c r="L3" s="90"/>
      <c r="M3" s="64"/>
    </row>
    <row r="4" spans="1:13" ht="16">
      <c r="A4" s="32" t="s">
        <v>1</v>
      </c>
      <c r="B4" s="31">
        <v>3625.8</v>
      </c>
      <c r="C4" s="70"/>
      <c r="D4" s="71"/>
      <c r="E4" s="72"/>
      <c r="F4" s="75"/>
      <c r="G4" s="76"/>
      <c r="H4" s="72"/>
      <c r="I4" s="64"/>
      <c r="J4" s="64"/>
      <c r="K4" s="64"/>
      <c r="L4" s="64"/>
      <c r="M4" s="88"/>
    </row>
    <row r="5" spans="1:13" ht="16">
      <c r="A5" s="30" t="s">
        <v>32</v>
      </c>
      <c r="B5" s="31">
        <v>1653.0075000000081</v>
      </c>
      <c r="C5" s="77"/>
      <c r="D5" s="78"/>
      <c r="E5" s="72"/>
      <c r="F5" s="64"/>
      <c r="G5" s="72"/>
      <c r="H5" s="72"/>
      <c r="I5" s="64"/>
      <c r="J5" s="92"/>
      <c r="K5" s="64"/>
      <c r="L5" s="64"/>
      <c r="M5" s="88"/>
    </row>
    <row r="6" spans="1:13" ht="16">
      <c r="A6" s="32" t="s">
        <v>31</v>
      </c>
      <c r="B6" s="31">
        <v>39340.6155</v>
      </c>
      <c r="C6" s="70"/>
      <c r="D6" s="71"/>
      <c r="E6" s="72"/>
      <c r="F6" s="64"/>
      <c r="G6" s="72"/>
      <c r="H6" s="72"/>
      <c r="I6" s="64"/>
      <c r="J6" s="92"/>
      <c r="K6" s="92"/>
      <c r="L6" s="92"/>
      <c r="M6" s="88"/>
    </row>
    <row r="7" spans="1:13" ht="16">
      <c r="A7" s="30" t="s">
        <v>13</v>
      </c>
      <c r="B7" s="31"/>
      <c r="C7" s="79"/>
      <c r="D7" s="71"/>
      <c r="E7" s="72"/>
      <c r="F7" s="64"/>
      <c r="G7" s="72"/>
      <c r="H7" s="72"/>
      <c r="I7" s="64"/>
      <c r="J7" s="92"/>
      <c r="K7" s="92"/>
      <c r="L7" s="92"/>
      <c r="M7" s="88"/>
    </row>
    <row r="8" spans="1:13" ht="16">
      <c r="A8" s="32" t="s">
        <v>15</v>
      </c>
      <c r="B8" s="31"/>
      <c r="C8" s="80"/>
      <c r="D8" s="80"/>
      <c r="E8" s="72"/>
      <c r="F8" s="80"/>
      <c r="G8" s="80"/>
      <c r="H8" s="87"/>
      <c r="I8" s="81"/>
      <c r="J8" s="81"/>
      <c r="K8" s="81"/>
      <c r="L8" s="81"/>
      <c r="M8" s="89"/>
    </row>
    <row r="9" spans="1:13" ht="16">
      <c r="A9" s="32" t="s">
        <v>18</v>
      </c>
      <c r="B9" s="31"/>
      <c r="C9" s="77"/>
      <c r="D9" s="72"/>
      <c r="E9" s="72"/>
      <c r="F9" s="64"/>
      <c r="G9" s="72"/>
      <c r="H9" s="72"/>
      <c r="I9" s="64"/>
      <c r="J9" s="64"/>
      <c r="K9" s="64"/>
      <c r="L9" s="64"/>
      <c r="M9" s="88"/>
    </row>
    <row r="10" spans="1:13" ht="16">
      <c r="A10" s="32" t="s">
        <v>20</v>
      </c>
      <c r="B10" s="31">
        <v>37588.81</v>
      </c>
      <c r="C10" s="77"/>
      <c r="D10" s="72"/>
      <c r="E10" s="72"/>
      <c r="F10" s="64"/>
      <c r="G10" s="72"/>
      <c r="H10" s="72"/>
      <c r="I10" s="64"/>
      <c r="J10" s="64"/>
      <c r="K10" s="64"/>
      <c r="L10" s="64"/>
      <c r="M10" s="88"/>
    </row>
    <row r="11" spans="1:13" ht="16">
      <c r="A11" s="32" t="s">
        <v>21</v>
      </c>
      <c r="B11" s="31">
        <v>751.16</v>
      </c>
      <c r="C11" s="77"/>
      <c r="D11" s="72"/>
      <c r="E11" s="72"/>
      <c r="F11" s="64"/>
      <c r="G11" s="72"/>
      <c r="H11" s="64"/>
      <c r="I11" s="91"/>
      <c r="J11" s="91"/>
      <c r="K11" s="91"/>
      <c r="L11" s="91"/>
      <c r="M11" s="64"/>
    </row>
    <row r="12" spans="1:13" ht="16">
      <c r="A12" s="30" t="s">
        <v>30</v>
      </c>
      <c r="B12" s="82"/>
      <c r="C12" s="82"/>
      <c r="D12" s="82"/>
      <c r="E12" s="82"/>
      <c r="F12" s="82"/>
      <c r="G12" s="82"/>
      <c r="H12" s="64"/>
      <c r="I12" s="83"/>
      <c r="J12" s="64"/>
      <c r="K12" s="64"/>
      <c r="L12" s="64"/>
      <c r="M12" s="64"/>
    </row>
    <row r="13" spans="1:13" ht="16">
      <c r="A13" s="30" t="s">
        <v>28</v>
      </c>
      <c r="B13" s="82"/>
      <c r="C13" s="82"/>
      <c r="D13" s="82"/>
      <c r="E13" s="82"/>
      <c r="F13" s="82"/>
      <c r="G13" s="82"/>
      <c r="H13" s="64"/>
      <c r="I13" s="83"/>
      <c r="J13" s="64"/>
      <c r="K13" s="64"/>
      <c r="L13" s="64"/>
      <c r="M13" s="64"/>
    </row>
    <row r="14" spans="1:13" ht="16">
      <c r="A14" s="30" t="s">
        <v>29</v>
      </c>
      <c r="B14" s="82"/>
      <c r="C14" s="82"/>
      <c r="D14" s="82"/>
      <c r="E14" s="82"/>
      <c r="F14" s="82"/>
      <c r="G14" s="82"/>
      <c r="H14" s="64"/>
      <c r="I14" s="83"/>
      <c r="J14" s="64"/>
      <c r="K14" s="64"/>
      <c r="L14" s="64"/>
      <c r="M14" s="64"/>
    </row>
    <row r="15" spans="1:13">
      <c r="A15" s="36" t="s">
        <v>3</v>
      </c>
      <c r="B15" s="22">
        <f t="shared" ref="B15:M15" si="0">SUM(B3:B12)</f>
        <v>137586.47300000003</v>
      </c>
      <c r="C15" s="22">
        <f t="shared" si="0"/>
        <v>0</v>
      </c>
      <c r="D15" s="23">
        <f t="shared" si="0"/>
        <v>0</v>
      </c>
      <c r="E15" s="55">
        <f t="shared" si="0"/>
        <v>0</v>
      </c>
      <c r="F15" s="55">
        <f t="shared" si="0"/>
        <v>0</v>
      </c>
      <c r="G15" s="55">
        <f t="shared" si="0"/>
        <v>0</v>
      </c>
      <c r="H15" s="63">
        <f t="shared" si="0"/>
        <v>0</v>
      </c>
      <c r="I15" s="63">
        <f t="shared" si="0"/>
        <v>0</v>
      </c>
      <c r="J15" s="63">
        <f t="shared" si="0"/>
        <v>0</v>
      </c>
      <c r="K15" s="63">
        <f t="shared" si="0"/>
        <v>0</v>
      </c>
      <c r="L15" s="63">
        <f t="shared" si="0"/>
        <v>0</v>
      </c>
      <c r="M15" s="63">
        <f t="shared" si="0"/>
        <v>0</v>
      </c>
    </row>
    <row r="16" spans="1:13" ht="16">
      <c r="A16" s="30" t="s">
        <v>4</v>
      </c>
      <c r="B16" s="31">
        <v>0</v>
      </c>
      <c r="C16" s="31">
        <v>0</v>
      </c>
      <c r="D16" s="59"/>
      <c r="E16" s="54"/>
      <c r="F16" s="51"/>
      <c r="G16" s="54"/>
      <c r="H16" s="51"/>
      <c r="I16" s="51"/>
      <c r="J16" s="51"/>
      <c r="K16" s="51"/>
      <c r="L16" s="51"/>
      <c r="M16" s="51"/>
    </row>
    <row r="17" spans="1:13" ht="16">
      <c r="A17" s="32" t="s">
        <v>5</v>
      </c>
      <c r="B17" s="37">
        <v>0</v>
      </c>
      <c r="C17" s="37">
        <v>0</v>
      </c>
      <c r="D17" s="37"/>
      <c r="E17" s="37"/>
      <c r="F17" s="37"/>
      <c r="G17" s="37"/>
      <c r="H17" s="37"/>
      <c r="I17" s="37"/>
      <c r="J17" s="66"/>
      <c r="K17" s="66"/>
      <c r="L17" s="66"/>
      <c r="M17" s="66"/>
    </row>
    <row r="18" spans="1:13" ht="16">
      <c r="A18" s="38" t="s">
        <v>6</v>
      </c>
      <c r="B18" s="33">
        <f>SUM(B15:B17)</f>
        <v>137586.47300000003</v>
      </c>
      <c r="C18" s="33">
        <f>SUM(C15:C17)</f>
        <v>0</v>
      </c>
      <c r="D18" s="49">
        <f>SUM(D15:D17)</f>
        <v>0</v>
      </c>
      <c r="E18" s="52">
        <f>SUM(E15:E17)</f>
        <v>0</v>
      </c>
      <c r="F18" s="52">
        <f t="shared" ref="F18:M18" si="1">SUM(F15:F17)</f>
        <v>0</v>
      </c>
      <c r="G18" s="52">
        <f t="shared" si="1"/>
        <v>0</v>
      </c>
      <c r="H18" s="52">
        <f t="shared" si="1"/>
        <v>0</v>
      </c>
      <c r="I18" s="52">
        <f t="shared" si="1"/>
        <v>0</v>
      </c>
      <c r="J18" s="52">
        <f t="shared" si="1"/>
        <v>0</v>
      </c>
      <c r="K18" s="52">
        <f t="shared" si="1"/>
        <v>0</v>
      </c>
      <c r="L18" s="52">
        <f t="shared" si="1"/>
        <v>0</v>
      </c>
      <c r="M18" s="52">
        <f t="shared" si="1"/>
        <v>0</v>
      </c>
    </row>
    <row r="19" spans="1:13" ht="16">
      <c r="A19" s="32" t="s">
        <v>7</v>
      </c>
      <c r="B19" s="34"/>
      <c r="C19" s="34"/>
      <c r="D19" s="34"/>
      <c r="E19" s="56"/>
      <c r="F19" s="56"/>
      <c r="G19" s="56"/>
      <c r="H19" s="56"/>
      <c r="I19" s="56"/>
      <c r="J19" s="56"/>
      <c r="K19" s="56"/>
      <c r="L19" s="51"/>
      <c r="M19" s="51"/>
    </row>
    <row r="20" spans="1:13" ht="16">
      <c r="A20" s="38" t="s">
        <v>8</v>
      </c>
      <c r="B20" s="39" t="e">
        <f>B18/B19</f>
        <v>#DIV/0!</v>
      </c>
      <c r="C20" s="39" t="e">
        <f>C18/C19</f>
        <v>#DIV/0!</v>
      </c>
      <c r="D20" s="39" t="e">
        <f>D18/D19</f>
        <v>#DIV/0!</v>
      </c>
      <c r="E20" s="60" t="e">
        <f>E18/E19</f>
        <v>#DIV/0!</v>
      </c>
      <c r="F20" s="60" t="e">
        <f t="shared" ref="F20:M20" si="2">F18/F19</f>
        <v>#DIV/0!</v>
      </c>
      <c r="G20" s="60" t="e">
        <f t="shared" si="2"/>
        <v>#DIV/0!</v>
      </c>
      <c r="H20" s="60" t="e">
        <f t="shared" si="2"/>
        <v>#DIV/0!</v>
      </c>
      <c r="I20" s="60" t="e">
        <f t="shared" si="2"/>
        <v>#DIV/0!</v>
      </c>
      <c r="J20" s="60" t="e">
        <f t="shared" si="2"/>
        <v>#DIV/0!</v>
      </c>
      <c r="K20" s="57" t="e">
        <f t="shared" si="2"/>
        <v>#DIV/0!</v>
      </c>
      <c r="L20" s="57" t="e">
        <f t="shared" si="2"/>
        <v>#DIV/0!</v>
      </c>
      <c r="M20" s="57" t="e">
        <f t="shared" si="2"/>
        <v>#DIV/0!</v>
      </c>
    </row>
    <row r="21" spans="1:13" ht="16">
      <c r="A21" s="28"/>
      <c r="B21" s="40"/>
      <c r="C21" s="40"/>
      <c r="D21" s="40"/>
      <c r="E21" s="61"/>
      <c r="F21" s="58"/>
      <c r="G21" s="58"/>
      <c r="H21" s="58"/>
      <c r="I21" s="58"/>
      <c r="J21" s="58"/>
      <c r="K21" s="58"/>
      <c r="L21" s="58"/>
      <c r="M21" s="58"/>
    </row>
    <row r="25" spans="1:13">
      <c r="A25" t="s">
        <v>22</v>
      </c>
      <c r="B25" t="s">
        <v>23</v>
      </c>
    </row>
    <row r="26" spans="1:13">
      <c r="A26" t="s">
        <v>25</v>
      </c>
      <c r="B26" t="s">
        <v>24</v>
      </c>
    </row>
    <row r="27" spans="1:13">
      <c r="A27" t="s">
        <v>26</v>
      </c>
      <c r="B27" t="s">
        <v>27</v>
      </c>
    </row>
  </sheetData>
  <mergeCells count="1">
    <mergeCell ref="A1:M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0B528-F131-4103-87D5-7E6B048CFF52}">
  <sheetPr>
    <tabColor rgb="FF00B050"/>
  </sheetPr>
  <dimension ref="A1:F135"/>
  <sheetViews>
    <sheetView showGridLines="0" tabSelected="1" topLeftCell="A88" zoomScale="120" zoomScaleNormal="120" workbookViewId="0">
      <selection activeCell="B103" sqref="B103"/>
    </sheetView>
  </sheetViews>
  <sheetFormatPr baseColWidth="10" defaultColWidth="36.1640625" defaultRowHeight="15"/>
  <cols>
    <col min="1" max="1" width="35" bestFit="1" customWidth="1"/>
    <col min="2" max="2" width="32.5" bestFit="1" customWidth="1"/>
    <col min="3" max="3" width="35.5" bestFit="1" customWidth="1"/>
    <col min="4" max="4" width="10.83203125" bestFit="1" customWidth="1"/>
    <col min="5" max="5" width="23.83203125" bestFit="1" customWidth="1"/>
    <col min="6" max="6" width="7.33203125" bestFit="1" customWidth="1"/>
  </cols>
  <sheetData>
    <row r="1" spans="1:5">
      <c r="A1" s="182" t="s">
        <v>44</v>
      </c>
      <c r="B1" s="182" t="s">
        <v>45</v>
      </c>
      <c r="C1" s="182" t="s">
        <v>46</v>
      </c>
      <c r="D1" s="183" t="s">
        <v>165</v>
      </c>
      <c r="E1" s="183" t="s">
        <v>47</v>
      </c>
    </row>
    <row r="2" spans="1:5">
      <c r="A2" s="184" t="s">
        <v>48</v>
      </c>
      <c r="B2" s="185" t="s">
        <v>49</v>
      </c>
      <c r="C2" s="185" t="s">
        <v>50</v>
      </c>
      <c r="D2" s="186">
        <v>139680.57999999999</v>
      </c>
      <c r="E2" s="186">
        <v>139680.57999999999</v>
      </c>
    </row>
    <row r="3" spans="1:5">
      <c r="A3" s="185" t="s">
        <v>51</v>
      </c>
      <c r="B3" s="185" t="s">
        <v>102</v>
      </c>
      <c r="C3" s="185" t="s">
        <v>161</v>
      </c>
      <c r="D3" s="187">
        <v>-77</v>
      </c>
      <c r="E3" s="187">
        <v>-77</v>
      </c>
    </row>
    <row r="4" spans="1:5">
      <c r="A4" s="185" t="s">
        <v>51</v>
      </c>
      <c r="B4" s="185" t="s">
        <v>54</v>
      </c>
      <c r="C4" s="185" t="s">
        <v>50</v>
      </c>
      <c r="D4" s="187">
        <v>-2499</v>
      </c>
      <c r="E4" s="187">
        <v>-2499</v>
      </c>
    </row>
    <row r="5" spans="1:5">
      <c r="A5" s="185" t="s">
        <v>51</v>
      </c>
      <c r="B5" s="185" t="s">
        <v>55</v>
      </c>
      <c r="C5" s="185" t="s">
        <v>103</v>
      </c>
      <c r="D5" s="187">
        <v>-185.49</v>
      </c>
      <c r="E5" s="187">
        <v>-185.49</v>
      </c>
    </row>
    <row r="6" spans="1:5">
      <c r="A6" s="185" t="s">
        <v>51</v>
      </c>
      <c r="B6" s="185" t="s">
        <v>51</v>
      </c>
      <c r="C6" s="185" t="s">
        <v>56</v>
      </c>
      <c r="D6" s="187">
        <v>-232.28</v>
      </c>
      <c r="E6" s="187">
        <v>-232.28</v>
      </c>
    </row>
    <row r="7" spans="1:5">
      <c r="A7" s="185" t="s">
        <v>51</v>
      </c>
      <c r="B7" s="185" t="s">
        <v>51</v>
      </c>
      <c r="C7" s="185" t="s">
        <v>63</v>
      </c>
      <c r="D7" s="187">
        <v>-232.28</v>
      </c>
      <c r="E7" s="187">
        <v>-232.28</v>
      </c>
    </row>
    <row r="8" spans="1:5">
      <c r="A8" s="185" t="s">
        <v>51</v>
      </c>
      <c r="B8" s="185" t="s">
        <v>51</v>
      </c>
      <c r="C8" s="185" t="s">
        <v>62</v>
      </c>
      <c r="D8" s="187">
        <v>-370.98</v>
      </c>
      <c r="E8" s="187">
        <v>-370.98</v>
      </c>
    </row>
    <row r="9" spans="1:5">
      <c r="A9" s="185" t="s">
        <v>51</v>
      </c>
      <c r="B9" s="185" t="s">
        <v>51</v>
      </c>
      <c r="C9" s="185" t="s">
        <v>64</v>
      </c>
      <c r="D9" s="187">
        <v>-603.26</v>
      </c>
      <c r="E9" s="187">
        <v>-603.26</v>
      </c>
    </row>
    <row r="10" spans="1:5">
      <c r="A10" s="185" t="s">
        <v>51</v>
      </c>
      <c r="B10" s="185" t="s">
        <v>51</v>
      </c>
      <c r="C10" s="185" t="s">
        <v>57</v>
      </c>
      <c r="D10" s="187">
        <v>-603.26</v>
      </c>
      <c r="E10" s="187">
        <v>-603.26</v>
      </c>
    </row>
    <row r="11" spans="1:5">
      <c r="A11" s="185" t="s">
        <v>51</v>
      </c>
      <c r="B11" s="185" t="s">
        <v>51</v>
      </c>
      <c r="C11" s="185" t="s">
        <v>58</v>
      </c>
      <c r="D11" s="187">
        <v>-1206.52</v>
      </c>
      <c r="E11" s="187">
        <v>-1206.52</v>
      </c>
    </row>
    <row r="12" spans="1:5">
      <c r="A12" s="185" t="s">
        <v>51</v>
      </c>
      <c r="B12" s="185" t="s">
        <v>51</v>
      </c>
      <c r="C12" s="185" t="s">
        <v>60</v>
      </c>
      <c r="D12" s="187">
        <v>-2646.96</v>
      </c>
      <c r="E12" s="187">
        <v>-2646.96</v>
      </c>
    </row>
    <row r="13" spans="1:5">
      <c r="A13" s="185" t="s">
        <v>51</v>
      </c>
      <c r="B13" s="185" t="s">
        <v>51</v>
      </c>
      <c r="C13" s="185" t="s">
        <v>61</v>
      </c>
      <c r="D13" s="187">
        <v>-2890.59</v>
      </c>
      <c r="E13" s="187">
        <v>-2890.59</v>
      </c>
    </row>
    <row r="14" spans="1:5">
      <c r="A14" s="185" t="s">
        <v>51</v>
      </c>
      <c r="B14" s="185" t="s">
        <v>51</v>
      </c>
      <c r="C14" s="185" t="s">
        <v>59</v>
      </c>
      <c r="D14" s="187">
        <v>-3553.37</v>
      </c>
      <c r="E14" s="187">
        <v>-3553.37</v>
      </c>
    </row>
    <row r="15" spans="1:5">
      <c r="A15" s="185" t="s">
        <v>51</v>
      </c>
      <c r="B15" s="185" t="s">
        <v>65</v>
      </c>
      <c r="C15" s="185" t="s">
        <v>161</v>
      </c>
      <c r="D15" s="187">
        <v>-100</v>
      </c>
      <c r="E15" s="187">
        <v>-100</v>
      </c>
    </row>
    <row r="16" spans="1:5">
      <c r="A16" s="185" t="s">
        <v>51</v>
      </c>
      <c r="B16" s="185" t="s">
        <v>51</v>
      </c>
      <c r="C16" s="185" t="s">
        <v>66</v>
      </c>
      <c r="D16" s="187">
        <v>-28792.309999999998</v>
      </c>
      <c r="E16" s="187">
        <v>-28792.309999999998</v>
      </c>
    </row>
    <row r="17" spans="1:5">
      <c r="A17" s="399" t="s">
        <v>166</v>
      </c>
      <c r="B17" s="399"/>
      <c r="C17" s="399"/>
      <c r="D17" s="188">
        <f>SUM(D2:D16)</f>
        <v>95687.279999999984</v>
      </c>
      <c r="E17" s="188">
        <f>SUM(E2:E16)</f>
        <v>95687.279999999984</v>
      </c>
    </row>
    <row r="18" spans="1:5">
      <c r="A18" s="189" t="s">
        <v>81</v>
      </c>
      <c r="B18" s="190" t="s">
        <v>49</v>
      </c>
      <c r="C18" s="190" t="s">
        <v>71</v>
      </c>
      <c r="D18" s="191">
        <v>94001.09</v>
      </c>
      <c r="E18" s="191">
        <v>94001.08</v>
      </c>
    </row>
    <row r="19" spans="1:5">
      <c r="A19" s="190" t="s">
        <v>51</v>
      </c>
      <c r="B19" s="190" t="s">
        <v>83</v>
      </c>
      <c r="C19" s="190" t="s">
        <v>84</v>
      </c>
      <c r="D19" s="191">
        <v>10.4</v>
      </c>
      <c r="E19" s="191">
        <v>10.4</v>
      </c>
    </row>
    <row r="20" spans="1:5">
      <c r="A20" s="190" t="s">
        <v>51</v>
      </c>
      <c r="B20" s="190" t="s">
        <v>73</v>
      </c>
      <c r="C20" s="190" t="s">
        <v>71</v>
      </c>
      <c r="D20" s="192">
        <v>0</v>
      </c>
      <c r="E20" s="192">
        <v>0</v>
      </c>
    </row>
    <row r="21" spans="1:5">
      <c r="A21" s="190" t="s">
        <v>51</v>
      </c>
      <c r="B21" s="190" t="s">
        <v>76</v>
      </c>
      <c r="C21" s="190" t="s">
        <v>77</v>
      </c>
      <c r="D21" s="193">
        <v>-9.9</v>
      </c>
      <c r="E21" s="193">
        <v>-9.9</v>
      </c>
    </row>
    <row r="22" spans="1:5">
      <c r="A22" s="190" t="s">
        <v>51</v>
      </c>
      <c r="B22" s="190" t="s">
        <v>65</v>
      </c>
      <c r="C22" s="190" t="s">
        <v>96</v>
      </c>
      <c r="D22" s="193">
        <v>-41.06</v>
      </c>
      <c r="E22" s="193">
        <v>-41.06</v>
      </c>
    </row>
    <row r="23" spans="1:5">
      <c r="A23" s="190" t="s">
        <v>51</v>
      </c>
      <c r="B23" s="190" t="s">
        <v>85</v>
      </c>
      <c r="C23" s="190" t="s">
        <v>86</v>
      </c>
      <c r="D23" s="193">
        <v>-63.91</v>
      </c>
      <c r="E23" s="193">
        <v>-63.91</v>
      </c>
    </row>
    <row r="24" spans="1:5">
      <c r="A24" s="190" t="s">
        <v>51</v>
      </c>
      <c r="B24" s="190" t="s">
        <v>87</v>
      </c>
      <c r="C24" s="190" t="s">
        <v>88</v>
      </c>
      <c r="D24" s="193">
        <v>-40</v>
      </c>
      <c r="E24" s="193">
        <v>-40</v>
      </c>
    </row>
    <row r="25" spans="1:5">
      <c r="A25" s="190" t="s">
        <v>51</v>
      </c>
      <c r="B25" s="190" t="s">
        <v>51</v>
      </c>
      <c r="C25" s="190" t="s">
        <v>89</v>
      </c>
      <c r="D25" s="193">
        <v>-140</v>
      </c>
      <c r="E25" s="193">
        <v>-140</v>
      </c>
    </row>
    <row r="26" spans="1:5">
      <c r="A26" s="190" t="s">
        <v>51</v>
      </c>
      <c r="B26" s="190" t="s">
        <v>92</v>
      </c>
      <c r="C26" s="190" t="s">
        <v>91</v>
      </c>
      <c r="D26" s="193">
        <v>-187.29</v>
      </c>
      <c r="E26" s="193">
        <v>-187.28</v>
      </c>
    </row>
    <row r="27" spans="1:5">
      <c r="A27" s="190" t="s">
        <v>51</v>
      </c>
      <c r="B27" s="190" t="s">
        <v>90</v>
      </c>
      <c r="C27" s="190" t="s">
        <v>91</v>
      </c>
      <c r="D27" s="193">
        <v>-187.92</v>
      </c>
      <c r="E27" s="193">
        <v>-187.92</v>
      </c>
    </row>
    <row r="28" spans="1:5">
      <c r="A28" s="190" t="s">
        <v>51</v>
      </c>
      <c r="B28" s="190" t="s">
        <v>102</v>
      </c>
      <c r="C28" s="190" t="s">
        <v>167</v>
      </c>
      <c r="D28" s="193">
        <v>-250</v>
      </c>
      <c r="E28" s="193">
        <v>-250</v>
      </c>
    </row>
    <row r="29" spans="1:5">
      <c r="A29" s="190" t="s">
        <v>51</v>
      </c>
      <c r="B29" s="190" t="s">
        <v>74</v>
      </c>
      <c r="C29" s="190" t="s">
        <v>161</v>
      </c>
      <c r="D29" s="193">
        <v>-67</v>
      </c>
      <c r="E29" s="193">
        <v>-67</v>
      </c>
    </row>
    <row r="30" spans="1:5">
      <c r="A30" s="190" t="s">
        <v>51</v>
      </c>
      <c r="B30" s="190" t="s">
        <v>51</v>
      </c>
      <c r="C30" s="190" t="s">
        <v>108</v>
      </c>
      <c r="D30" s="193">
        <v>-196.19</v>
      </c>
      <c r="E30" s="193">
        <v>-196.19</v>
      </c>
    </row>
    <row r="31" spans="1:5">
      <c r="A31" s="190" t="s">
        <v>51</v>
      </c>
      <c r="B31" s="190" t="s">
        <v>119</v>
      </c>
      <c r="C31" s="190" t="s">
        <v>120</v>
      </c>
      <c r="D31" s="193">
        <v>-271.64</v>
      </c>
      <c r="E31" s="193">
        <v>-271.64</v>
      </c>
    </row>
    <row r="32" spans="1:5">
      <c r="A32" s="190" t="s">
        <v>51</v>
      </c>
      <c r="B32" s="190" t="s">
        <v>168</v>
      </c>
      <c r="C32" s="190" t="s">
        <v>169</v>
      </c>
      <c r="D32" s="193">
        <v>-350</v>
      </c>
      <c r="E32" s="193">
        <v>-350</v>
      </c>
    </row>
    <row r="33" spans="1:5">
      <c r="A33" s="190" t="s">
        <v>51</v>
      </c>
      <c r="B33" s="190" t="s">
        <v>93</v>
      </c>
      <c r="C33" s="190" t="s">
        <v>57</v>
      </c>
      <c r="D33" s="193">
        <v>-400</v>
      </c>
      <c r="E33" s="193">
        <v>-400</v>
      </c>
    </row>
    <row r="34" spans="1:5">
      <c r="A34" s="190" t="s">
        <v>51</v>
      </c>
      <c r="B34" s="190" t="s">
        <v>104</v>
      </c>
      <c r="C34" s="190" t="s">
        <v>105</v>
      </c>
      <c r="D34" s="193">
        <v>-422.12</v>
      </c>
      <c r="E34" s="193">
        <v>-422.12</v>
      </c>
    </row>
    <row r="35" spans="1:5">
      <c r="A35" s="190" t="s">
        <v>51</v>
      </c>
      <c r="B35" s="190" t="s">
        <v>125</v>
      </c>
      <c r="C35" s="190" t="s">
        <v>91</v>
      </c>
      <c r="D35" s="193">
        <v>-494.96</v>
      </c>
      <c r="E35" s="193">
        <v>-494.96</v>
      </c>
    </row>
    <row r="36" spans="1:5">
      <c r="A36" s="190" t="s">
        <v>51</v>
      </c>
      <c r="B36" s="190" t="s">
        <v>98</v>
      </c>
      <c r="C36" s="190" t="s">
        <v>100</v>
      </c>
      <c r="D36" s="193">
        <v>-109</v>
      </c>
      <c r="E36" s="193">
        <v>-109</v>
      </c>
    </row>
    <row r="37" spans="1:5">
      <c r="A37" s="190" t="s">
        <v>51</v>
      </c>
      <c r="B37" s="190" t="s">
        <v>51</v>
      </c>
      <c r="C37" s="190" t="s">
        <v>99</v>
      </c>
      <c r="D37" s="193">
        <v>-401.32</v>
      </c>
      <c r="E37" s="193">
        <v>-401.32</v>
      </c>
    </row>
    <row r="38" spans="1:5">
      <c r="A38" s="190" t="s">
        <v>51</v>
      </c>
      <c r="B38" s="190" t="s">
        <v>141</v>
      </c>
      <c r="C38" s="190" t="s">
        <v>170</v>
      </c>
      <c r="D38" s="193">
        <v>-733.75</v>
      </c>
      <c r="E38" s="193">
        <v>-725.04</v>
      </c>
    </row>
    <row r="39" spans="1:5" ht="30">
      <c r="A39" s="190" t="s">
        <v>51</v>
      </c>
      <c r="B39" s="190" t="s">
        <v>110</v>
      </c>
      <c r="C39" s="190" t="s">
        <v>111</v>
      </c>
      <c r="D39" s="193">
        <v>-84</v>
      </c>
      <c r="E39" s="193">
        <v>-84</v>
      </c>
    </row>
    <row r="40" spans="1:5">
      <c r="A40" s="190" t="s">
        <v>51</v>
      </c>
      <c r="B40" s="190" t="s">
        <v>51</v>
      </c>
      <c r="C40" s="190" t="s">
        <v>112</v>
      </c>
      <c r="D40" s="193">
        <v>-700</v>
      </c>
      <c r="E40" s="193">
        <v>-700</v>
      </c>
    </row>
    <row r="41" spans="1:5">
      <c r="A41" s="190" t="s">
        <v>51</v>
      </c>
      <c r="B41" s="190" t="s">
        <v>113</v>
      </c>
      <c r="C41" s="190" t="s">
        <v>114</v>
      </c>
      <c r="D41" s="193">
        <v>-800</v>
      </c>
      <c r="E41" s="193">
        <v>-800</v>
      </c>
    </row>
    <row r="42" spans="1:5" ht="30">
      <c r="A42" s="190" t="s">
        <v>51</v>
      </c>
      <c r="B42" s="190" t="s">
        <v>160</v>
      </c>
      <c r="C42" s="190" t="s">
        <v>171</v>
      </c>
      <c r="D42" s="193">
        <v>-810</v>
      </c>
      <c r="E42" s="193">
        <v>-810</v>
      </c>
    </row>
    <row r="43" spans="1:5">
      <c r="A43" s="190" t="s">
        <v>51</v>
      </c>
      <c r="B43" s="190" t="s">
        <v>115</v>
      </c>
      <c r="C43" s="190" t="s">
        <v>116</v>
      </c>
      <c r="D43" s="193">
        <v>-963.33</v>
      </c>
      <c r="E43" s="193">
        <v>-963.33</v>
      </c>
    </row>
    <row r="44" spans="1:5">
      <c r="A44" s="190" t="s">
        <v>51</v>
      </c>
      <c r="B44" s="190" t="s">
        <v>117</v>
      </c>
      <c r="C44" s="190" t="s">
        <v>118</v>
      </c>
      <c r="D44" s="193">
        <v>-1000</v>
      </c>
      <c r="E44" s="193">
        <v>-1000</v>
      </c>
    </row>
    <row r="45" spans="1:5">
      <c r="A45" s="190" t="s">
        <v>51</v>
      </c>
      <c r="B45" s="190" t="s">
        <v>106</v>
      </c>
      <c r="C45" s="190" t="s">
        <v>172</v>
      </c>
      <c r="D45" s="193">
        <v>-30</v>
      </c>
      <c r="E45" s="193">
        <v>-30</v>
      </c>
    </row>
    <row r="46" spans="1:5">
      <c r="A46" s="190" t="s">
        <v>51</v>
      </c>
      <c r="B46" s="190" t="s">
        <v>51</v>
      </c>
      <c r="C46" s="190" t="s">
        <v>173</v>
      </c>
      <c r="D46" s="193">
        <v>-51.5</v>
      </c>
      <c r="E46" s="193">
        <v>-51.5</v>
      </c>
    </row>
    <row r="47" spans="1:5">
      <c r="A47" s="190" t="s">
        <v>51</v>
      </c>
      <c r="B47" s="190" t="s">
        <v>51</v>
      </c>
      <c r="C47" s="190" t="s">
        <v>174</v>
      </c>
      <c r="D47" s="193">
        <v>-93.68</v>
      </c>
      <c r="E47" s="193">
        <v>-93.68</v>
      </c>
    </row>
    <row r="48" spans="1:5">
      <c r="A48" s="190" t="s">
        <v>51</v>
      </c>
      <c r="B48" s="190" t="s">
        <v>51</v>
      </c>
      <c r="C48" s="190" t="s">
        <v>95</v>
      </c>
      <c r="D48" s="193">
        <v>-135.47999999999999</v>
      </c>
      <c r="E48" s="193">
        <v>-135.47999999999999</v>
      </c>
    </row>
    <row r="49" spans="1:5">
      <c r="A49" s="190" t="s">
        <v>51</v>
      </c>
      <c r="B49" s="190" t="s">
        <v>51</v>
      </c>
      <c r="C49" s="190" t="s">
        <v>107</v>
      </c>
      <c r="D49" s="193">
        <v>-399.89</v>
      </c>
      <c r="E49" s="193">
        <v>-399.89</v>
      </c>
    </row>
    <row r="50" spans="1:5">
      <c r="A50" s="190" t="s">
        <v>51</v>
      </c>
      <c r="B50" s="190" t="s">
        <v>51</v>
      </c>
      <c r="C50" s="190" t="s">
        <v>96</v>
      </c>
      <c r="D50" s="193">
        <v>-717.86</v>
      </c>
      <c r="E50" s="193">
        <v>-717.86</v>
      </c>
    </row>
    <row r="51" spans="1:5">
      <c r="A51" s="190" t="s">
        <v>51</v>
      </c>
      <c r="B51" s="190" t="s">
        <v>121</v>
      </c>
      <c r="C51" s="190" t="s">
        <v>122</v>
      </c>
      <c r="D51" s="193">
        <v>-2169.9499999999998</v>
      </c>
      <c r="E51" s="193">
        <v>-2019.95</v>
      </c>
    </row>
    <row r="52" spans="1:5" ht="30">
      <c r="A52" s="190" t="s">
        <v>51</v>
      </c>
      <c r="B52" s="190" t="s">
        <v>139</v>
      </c>
      <c r="C52" s="190" t="s">
        <v>140</v>
      </c>
      <c r="D52" s="193">
        <v>-2283.8200000000002</v>
      </c>
      <c r="E52" s="193">
        <v>-2283.8200000000002</v>
      </c>
    </row>
    <row r="53" spans="1:5">
      <c r="A53" s="190" t="s">
        <v>51</v>
      </c>
      <c r="B53" s="190" t="s">
        <v>126</v>
      </c>
      <c r="C53" s="190" t="s">
        <v>128</v>
      </c>
      <c r="D53" s="193">
        <v>-24.16</v>
      </c>
      <c r="E53" s="193">
        <v>-24.16</v>
      </c>
    </row>
    <row r="54" spans="1:5">
      <c r="A54" s="190" t="s">
        <v>51</v>
      </c>
      <c r="B54" s="190" t="s">
        <v>51</v>
      </c>
      <c r="C54" s="190" t="s">
        <v>129</v>
      </c>
      <c r="D54" s="193">
        <v>-33</v>
      </c>
      <c r="E54" s="193">
        <v>-33</v>
      </c>
    </row>
    <row r="55" spans="1:5">
      <c r="A55" s="190" t="s">
        <v>51</v>
      </c>
      <c r="B55" s="190" t="s">
        <v>51</v>
      </c>
      <c r="C55" s="190" t="s">
        <v>130</v>
      </c>
      <c r="D55" s="193">
        <v>-50</v>
      </c>
      <c r="E55" s="193">
        <v>-50</v>
      </c>
    </row>
    <row r="56" spans="1:5">
      <c r="A56" s="190" t="s">
        <v>51</v>
      </c>
      <c r="B56" s="190" t="s">
        <v>51</v>
      </c>
      <c r="C56" s="190" t="s">
        <v>131</v>
      </c>
      <c r="D56" s="193">
        <v>-99.9</v>
      </c>
      <c r="E56" s="193">
        <v>-99.9</v>
      </c>
    </row>
    <row r="57" spans="1:5">
      <c r="A57" s="190" t="s">
        <v>51</v>
      </c>
      <c r="B57" s="190" t="s">
        <v>51</v>
      </c>
      <c r="C57" s="190" t="s">
        <v>132</v>
      </c>
      <c r="D57" s="193">
        <v>-247.92</v>
      </c>
      <c r="E57" s="193">
        <v>-247.92</v>
      </c>
    </row>
    <row r="58" spans="1:5">
      <c r="A58" s="190" t="s">
        <v>51</v>
      </c>
      <c r="B58" s="190" t="s">
        <v>51</v>
      </c>
      <c r="C58" s="190" t="s">
        <v>133</v>
      </c>
      <c r="D58" s="193">
        <v>-357.43</v>
      </c>
      <c r="E58" s="193">
        <v>-357.43</v>
      </c>
    </row>
    <row r="59" spans="1:5">
      <c r="A59" s="190" t="s">
        <v>51</v>
      </c>
      <c r="B59" s="190" t="s">
        <v>51</v>
      </c>
      <c r="C59" s="190" t="s">
        <v>134</v>
      </c>
      <c r="D59" s="193">
        <v>-1040.48</v>
      </c>
      <c r="E59" s="193">
        <v>-1040.48</v>
      </c>
    </row>
    <row r="60" spans="1:5">
      <c r="A60" s="190" t="s">
        <v>51</v>
      </c>
      <c r="B60" s="190" t="s">
        <v>51</v>
      </c>
      <c r="C60" s="190" t="s">
        <v>135</v>
      </c>
      <c r="D60" s="193">
        <v>-1327</v>
      </c>
      <c r="E60" s="193">
        <v>-1327</v>
      </c>
    </row>
    <row r="61" spans="1:5">
      <c r="A61" s="190" t="s">
        <v>51</v>
      </c>
      <c r="B61" s="190" t="s">
        <v>136</v>
      </c>
      <c r="C61" s="190" t="s">
        <v>175</v>
      </c>
      <c r="D61" s="193">
        <v>-334.21000000000004</v>
      </c>
      <c r="E61" s="193">
        <v>-334.21000000000004</v>
      </c>
    </row>
    <row r="62" spans="1:5">
      <c r="A62" s="190" t="s">
        <v>51</v>
      </c>
      <c r="B62" s="190" t="s">
        <v>51</v>
      </c>
      <c r="C62" s="190" t="s">
        <v>176</v>
      </c>
      <c r="D62" s="193">
        <v>-2025</v>
      </c>
      <c r="E62" s="193">
        <v>-2025</v>
      </c>
    </row>
    <row r="63" spans="1:5">
      <c r="A63" s="190" t="s">
        <v>51</v>
      </c>
      <c r="B63" s="190" t="s">
        <v>51</v>
      </c>
      <c r="C63" s="190" t="s">
        <v>138</v>
      </c>
      <c r="D63" s="193">
        <v>-3725.37</v>
      </c>
      <c r="E63" s="193">
        <v>-3725.37</v>
      </c>
    </row>
    <row r="64" spans="1:5">
      <c r="A64" s="190" t="s">
        <v>51</v>
      </c>
      <c r="B64" s="190" t="s">
        <v>79</v>
      </c>
      <c r="C64" s="190" t="s">
        <v>61</v>
      </c>
      <c r="D64" s="193">
        <v>-2000</v>
      </c>
      <c r="E64" s="193">
        <v>-2000</v>
      </c>
    </row>
    <row r="65" spans="1:5">
      <c r="A65" s="190" t="s">
        <v>51</v>
      </c>
      <c r="B65" s="190" t="s">
        <v>51</v>
      </c>
      <c r="C65" s="190" t="s">
        <v>56</v>
      </c>
      <c r="D65" s="193">
        <v>-2153.08</v>
      </c>
      <c r="E65" s="193">
        <v>-2153.08</v>
      </c>
    </row>
    <row r="66" spans="1:5">
      <c r="A66" s="190" t="s">
        <v>51</v>
      </c>
      <c r="B66" s="190" t="s">
        <v>51</v>
      </c>
      <c r="C66" s="190" t="s">
        <v>103</v>
      </c>
      <c r="D66" s="193">
        <v>-2500</v>
      </c>
      <c r="E66" s="193">
        <v>-2500</v>
      </c>
    </row>
    <row r="67" spans="1:5">
      <c r="A67" s="190" t="s">
        <v>51</v>
      </c>
      <c r="B67" s="190" t="s">
        <v>143</v>
      </c>
      <c r="C67" s="190" t="s">
        <v>64</v>
      </c>
      <c r="D67" s="193">
        <v>-5000</v>
      </c>
      <c r="E67" s="193">
        <v>-5000</v>
      </c>
    </row>
    <row r="68" spans="1:5">
      <c r="A68" s="190" t="s">
        <v>51</v>
      </c>
      <c r="B68" s="190" t="s">
        <v>51</v>
      </c>
      <c r="C68" s="190" t="s">
        <v>57</v>
      </c>
      <c r="D68" s="193">
        <v>-5000</v>
      </c>
      <c r="E68" s="193">
        <v>-5000</v>
      </c>
    </row>
    <row r="69" spans="1:5">
      <c r="A69" s="190" t="s">
        <v>51</v>
      </c>
      <c r="B69" s="190" t="s">
        <v>51</v>
      </c>
      <c r="C69" s="190" t="s">
        <v>59</v>
      </c>
      <c r="D69" s="193">
        <v>-5000</v>
      </c>
      <c r="E69" s="193">
        <v>-5000</v>
      </c>
    </row>
    <row r="70" spans="1:5">
      <c r="A70" s="190" t="s">
        <v>51</v>
      </c>
      <c r="B70" s="190" t="s">
        <v>55</v>
      </c>
      <c r="C70" s="190" t="s">
        <v>59</v>
      </c>
      <c r="D70" s="193">
        <v>-200</v>
      </c>
      <c r="E70" s="193">
        <v>-200</v>
      </c>
    </row>
    <row r="71" spans="1:5">
      <c r="A71" s="190" t="s">
        <v>51</v>
      </c>
      <c r="B71" s="190" t="s">
        <v>51</v>
      </c>
      <c r="C71" s="190" t="s">
        <v>144</v>
      </c>
      <c r="D71" s="193">
        <v>-515</v>
      </c>
      <c r="E71" s="193">
        <v>-515</v>
      </c>
    </row>
    <row r="72" spans="1:5">
      <c r="A72" s="190" t="s">
        <v>51</v>
      </c>
      <c r="B72" s="190" t="s">
        <v>51</v>
      </c>
      <c r="C72" s="190" t="s">
        <v>56</v>
      </c>
      <c r="D72" s="193">
        <v>-550</v>
      </c>
      <c r="E72" s="193">
        <v>-550</v>
      </c>
    </row>
    <row r="73" spans="1:5">
      <c r="A73" s="190" t="s">
        <v>51</v>
      </c>
      <c r="B73" s="190" t="s">
        <v>51</v>
      </c>
      <c r="C73" s="190" t="s">
        <v>58</v>
      </c>
      <c r="D73" s="193">
        <v>-3792.91</v>
      </c>
      <c r="E73" s="193">
        <v>-3792.91</v>
      </c>
    </row>
    <row r="74" spans="1:5">
      <c r="A74" s="190" t="s">
        <v>51</v>
      </c>
      <c r="B74" s="190" t="s">
        <v>51</v>
      </c>
      <c r="C74" s="190" t="s">
        <v>61</v>
      </c>
      <c r="D74" s="193">
        <v>-4516.3500000000004</v>
      </c>
      <c r="E74" s="193">
        <v>-4516.3500000000004</v>
      </c>
    </row>
    <row r="75" spans="1:5">
      <c r="A75" s="190" t="s">
        <v>51</v>
      </c>
      <c r="B75" s="190" t="s">
        <v>51</v>
      </c>
      <c r="C75" s="190" t="s">
        <v>60</v>
      </c>
      <c r="D75" s="193">
        <v>-5823.36</v>
      </c>
      <c r="E75" s="193">
        <v>-5823.36</v>
      </c>
    </row>
    <row r="76" spans="1:5">
      <c r="A76" s="400" t="s">
        <v>166</v>
      </c>
      <c r="B76" s="400"/>
      <c r="C76" s="400"/>
      <c r="D76" s="194">
        <f>SUM(D18:D75)</f>
        <v>33090.750000000007</v>
      </c>
      <c r="E76" s="194">
        <f>SUM(E18:E75)</f>
        <v>33249.460000000014</v>
      </c>
    </row>
    <row r="77" spans="1:5">
      <c r="A77" s="195" t="s">
        <v>34</v>
      </c>
      <c r="B77" s="196" t="s">
        <v>49</v>
      </c>
      <c r="C77" s="196" t="s">
        <v>69</v>
      </c>
      <c r="D77" s="197">
        <v>9678.56</v>
      </c>
      <c r="E77" s="197">
        <v>9678.56</v>
      </c>
    </row>
    <row r="78" spans="1:5">
      <c r="A78" s="196" t="s">
        <v>51</v>
      </c>
      <c r="B78" s="196" t="s">
        <v>51</v>
      </c>
      <c r="C78" s="196" t="s">
        <v>71</v>
      </c>
      <c r="D78" s="197">
        <v>1169.73</v>
      </c>
      <c r="E78" s="197">
        <v>1169.7284999999999</v>
      </c>
    </row>
    <row r="79" spans="1:5">
      <c r="A79" s="196" t="s">
        <v>51</v>
      </c>
      <c r="B79" s="196" t="s">
        <v>73</v>
      </c>
      <c r="C79" s="196" t="s">
        <v>71</v>
      </c>
      <c r="D79" s="198">
        <v>0</v>
      </c>
      <c r="E79" s="198">
        <v>0</v>
      </c>
    </row>
    <row r="80" spans="1:5">
      <c r="A80" s="196" t="s">
        <v>51</v>
      </c>
      <c r="B80" s="196" t="s">
        <v>177</v>
      </c>
      <c r="C80" s="196" t="s">
        <v>78</v>
      </c>
      <c r="D80" s="199">
        <v>-54.9</v>
      </c>
      <c r="E80" s="199">
        <v>-54.9</v>
      </c>
    </row>
    <row r="81" spans="1:5">
      <c r="A81" s="196" t="s">
        <v>51</v>
      </c>
      <c r="B81" s="196" t="s">
        <v>76</v>
      </c>
      <c r="C81" s="196" t="s">
        <v>77</v>
      </c>
      <c r="D81" s="199">
        <v>-270</v>
      </c>
      <c r="E81" s="199">
        <v>-270</v>
      </c>
    </row>
    <row r="82" spans="1:5">
      <c r="A82" s="196" t="s">
        <v>51</v>
      </c>
      <c r="B82" s="196" t="s">
        <v>79</v>
      </c>
      <c r="C82" s="196" t="s">
        <v>78</v>
      </c>
      <c r="D82" s="199">
        <v>-903.23</v>
      </c>
      <c r="E82" s="199">
        <v>-903.23</v>
      </c>
    </row>
    <row r="83" spans="1:5">
      <c r="A83" s="196" t="s">
        <v>51</v>
      </c>
      <c r="B83" s="196" t="s">
        <v>55</v>
      </c>
      <c r="C83" s="196" t="s">
        <v>57</v>
      </c>
      <c r="D83" s="199">
        <v>-1088</v>
      </c>
      <c r="E83" s="199">
        <v>-1088</v>
      </c>
    </row>
    <row r="84" spans="1:5">
      <c r="A84" s="196" t="s">
        <v>51</v>
      </c>
      <c r="B84" s="196" t="s">
        <v>51</v>
      </c>
      <c r="C84" s="196" t="s">
        <v>61</v>
      </c>
      <c r="D84" s="199">
        <v>-1393.39</v>
      </c>
      <c r="E84" s="199">
        <v>-1393.39</v>
      </c>
    </row>
    <row r="85" spans="1:5">
      <c r="A85" s="401" t="s">
        <v>166</v>
      </c>
      <c r="B85" s="401"/>
      <c r="C85" s="401"/>
      <c r="D85" s="200">
        <f>SUM(D77:D84)</f>
        <v>7138.7699999999995</v>
      </c>
      <c r="E85" s="200">
        <f>SUM(E77:E84)</f>
        <v>7138.7684999999992</v>
      </c>
    </row>
    <row r="86" spans="1:5">
      <c r="A86" s="201" t="s">
        <v>35</v>
      </c>
      <c r="B86" s="202" t="s">
        <v>49</v>
      </c>
      <c r="C86" s="202" t="s">
        <v>71</v>
      </c>
      <c r="D86" s="203">
        <v>5932.87</v>
      </c>
      <c r="E86" s="203">
        <v>5932.8624</v>
      </c>
    </row>
    <row r="87" spans="1:5">
      <c r="A87" s="202" t="s">
        <v>51</v>
      </c>
      <c r="B87" s="202" t="s">
        <v>73</v>
      </c>
      <c r="C87" s="202" t="s">
        <v>71</v>
      </c>
      <c r="D87" s="204">
        <v>0</v>
      </c>
      <c r="E87" s="204">
        <v>0</v>
      </c>
    </row>
    <row r="88" spans="1:5">
      <c r="A88" s="202" t="s">
        <v>51</v>
      </c>
      <c r="B88" s="202" t="s">
        <v>55</v>
      </c>
      <c r="C88" s="202" t="s">
        <v>60</v>
      </c>
      <c r="D88" s="205">
        <v>-37.39</v>
      </c>
      <c r="E88" s="205">
        <v>-37.39</v>
      </c>
    </row>
    <row r="89" spans="1:5">
      <c r="A89" s="202" t="s">
        <v>51</v>
      </c>
      <c r="B89" s="202" t="s">
        <v>51</v>
      </c>
      <c r="C89" s="202" t="s">
        <v>58</v>
      </c>
      <c r="D89" s="205">
        <v>-189.83</v>
      </c>
      <c r="E89" s="205">
        <v>-189.83</v>
      </c>
    </row>
    <row r="90" spans="1:5">
      <c r="A90" s="202" t="s">
        <v>51</v>
      </c>
      <c r="B90" s="202" t="s">
        <v>51</v>
      </c>
      <c r="C90" s="202" t="s">
        <v>57</v>
      </c>
      <c r="D90" s="205">
        <v>-193.27</v>
      </c>
      <c r="E90" s="205">
        <v>-193.27</v>
      </c>
    </row>
    <row r="91" spans="1:5">
      <c r="A91" s="202" t="s">
        <v>51</v>
      </c>
      <c r="B91" s="202" t="s">
        <v>51</v>
      </c>
      <c r="C91" s="202" t="s">
        <v>64</v>
      </c>
      <c r="D91" s="205">
        <v>-279.95999999999998</v>
      </c>
      <c r="E91" s="205">
        <v>-279.95999999999998</v>
      </c>
    </row>
    <row r="92" spans="1:5">
      <c r="A92" s="202" t="s">
        <v>51</v>
      </c>
      <c r="B92" s="202" t="s">
        <v>51</v>
      </c>
      <c r="C92" s="202" t="s">
        <v>59</v>
      </c>
      <c r="D92" s="205">
        <v>-284.5</v>
      </c>
      <c r="E92" s="205">
        <v>-284.5</v>
      </c>
    </row>
    <row r="93" spans="1:5">
      <c r="A93" s="202" t="s">
        <v>51</v>
      </c>
      <c r="B93" s="202" t="s">
        <v>51</v>
      </c>
      <c r="C93" s="202" t="s">
        <v>61</v>
      </c>
      <c r="D93" s="205">
        <v>-477.29</v>
      </c>
      <c r="E93" s="205">
        <v>-477.29</v>
      </c>
    </row>
    <row r="94" spans="1:5">
      <c r="A94" s="402" t="s">
        <v>166</v>
      </c>
      <c r="B94" s="402"/>
      <c r="C94" s="402"/>
      <c r="D94" s="206">
        <f>SUM(D86:D93)</f>
        <v>4470.6299999999992</v>
      </c>
      <c r="E94" s="206">
        <f>SUM(E86:E93)</f>
        <v>4470.6223999999993</v>
      </c>
    </row>
    <row r="95" spans="1:5">
      <c r="A95" s="207" t="s">
        <v>148</v>
      </c>
      <c r="B95" s="168" t="s">
        <v>49</v>
      </c>
      <c r="C95" s="168" t="s">
        <v>178</v>
      </c>
      <c r="D95" s="169">
        <v>3260.9</v>
      </c>
      <c r="E95" s="169">
        <v>3260.9</v>
      </c>
    </row>
    <row r="96" spans="1:5" ht="31" thickBot="1">
      <c r="A96" s="168" t="s">
        <v>51</v>
      </c>
      <c r="B96" s="384" t="s">
        <v>51</v>
      </c>
      <c r="C96" s="384" t="s">
        <v>179</v>
      </c>
      <c r="D96" s="385">
        <v>1341.4099999999999</v>
      </c>
      <c r="E96" s="385">
        <v>1341.4099999999999</v>
      </c>
    </row>
    <row r="97" spans="1:6" ht="16" thickBot="1">
      <c r="A97" s="383"/>
      <c r="B97" s="421"/>
      <c r="C97" s="422" t="s">
        <v>118</v>
      </c>
      <c r="D97" s="423">
        <v>4564.3599999999997</v>
      </c>
      <c r="E97" s="424">
        <v>4564.3599999999997</v>
      </c>
      <c r="F97" t="s">
        <v>491</v>
      </c>
    </row>
    <row r="98" spans="1:6">
      <c r="A98" s="168" t="s">
        <v>51</v>
      </c>
      <c r="B98" s="386" t="s">
        <v>87</v>
      </c>
      <c r="C98" s="386" t="s">
        <v>149</v>
      </c>
      <c r="D98" s="387">
        <v>-198.66</v>
      </c>
      <c r="E98" s="387">
        <v>-198.66</v>
      </c>
    </row>
    <row r="99" spans="1:6">
      <c r="A99" s="168" t="s">
        <v>51</v>
      </c>
      <c r="B99" s="168" t="s">
        <v>55</v>
      </c>
      <c r="C99" s="168" t="s">
        <v>58</v>
      </c>
      <c r="D99" s="170">
        <v>-10.47</v>
      </c>
      <c r="E99" s="170">
        <v>-10.47</v>
      </c>
    </row>
    <row r="100" spans="1:6">
      <c r="A100" s="168" t="s">
        <v>51</v>
      </c>
      <c r="B100" s="168" t="s">
        <v>51</v>
      </c>
      <c r="C100" s="168" t="s">
        <v>60</v>
      </c>
      <c r="D100" s="170">
        <v>-16.66</v>
      </c>
      <c r="E100" s="170">
        <v>-16.66</v>
      </c>
    </row>
    <row r="101" spans="1:6">
      <c r="A101" s="168" t="s">
        <v>51</v>
      </c>
      <c r="B101" s="168" t="s">
        <v>51</v>
      </c>
      <c r="C101" s="168" t="s">
        <v>64</v>
      </c>
      <c r="D101" s="170">
        <v>-291.10000000000002</v>
      </c>
      <c r="E101" s="170">
        <v>-291.10000000000002</v>
      </c>
    </row>
    <row r="102" spans="1:6">
      <c r="A102" s="168" t="s">
        <v>51</v>
      </c>
      <c r="B102" s="168" t="s">
        <v>51</v>
      </c>
      <c r="C102" s="168" t="s">
        <v>59</v>
      </c>
      <c r="D102" s="170">
        <v>-306.38</v>
      </c>
      <c r="E102" s="170">
        <v>-306.38</v>
      </c>
    </row>
    <row r="103" spans="1:6">
      <c r="A103" s="168" t="s">
        <v>51</v>
      </c>
      <c r="B103" s="168" t="s">
        <v>51</v>
      </c>
      <c r="C103" s="168" t="s">
        <v>61</v>
      </c>
      <c r="D103" s="170">
        <v>-1153.8900000000001</v>
      </c>
      <c r="E103" s="170">
        <v>-1153.8900000000001</v>
      </c>
    </row>
    <row r="104" spans="1:6">
      <c r="A104" s="403" t="s">
        <v>166</v>
      </c>
      <c r="B104" s="403"/>
      <c r="C104" s="403"/>
      <c r="D104" s="174">
        <f>SUM(D95:D103)</f>
        <v>7189.5099999999993</v>
      </c>
      <c r="E104" s="174">
        <f>SUM(E95:E103)</f>
        <v>7189.5099999999993</v>
      </c>
    </row>
    <row r="105" spans="1:6">
      <c r="A105" s="142" t="s">
        <v>154</v>
      </c>
      <c r="B105" s="140" t="s">
        <v>49</v>
      </c>
      <c r="C105" s="140" t="s">
        <v>71</v>
      </c>
      <c r="D105" s="141">
        <v>1158.75</v>
      </c>
      <c r="E105" s="141">
        <v>1158.749</v>
      </c>
    </row>
    <row r="106" spans="1:6">
      <c r="A106" s="140" t="s">
        <v>51</v>
      </c>
      <c r="B106" s="140" t="s">
        <v>51</v>
      </c>
      <c r="C106" s="140" t="s">
        <v>118</v>
      </c>
      <c r="D106" s="141">
        <v>18.22</v>
      </c>
      <c r="E106" s="141">
        <v>18.22</v>
      </c>
    </row>
    <row r="107" spans="1:6">
      <c r="A107" s="140" t="s">
        <v>51</v>
      </c>
      <c r="B107" s="140" t="s">
        <v>83</v>
      </c>
      <c r="C107" s="140" t="s">
        <v>84</v>
      </c>
      <c r="D107" s="141">
        <v>12.329999999999998</v>
      </c>
      <c r="E107" s="141">
        <v>12.329999999999998</v>
      </c>
    </row>
    <row r="108" spans="1:6">
      <c r="A108" s="140" t="s">
        <v>51</v>
      </c>
      <c r="B108" s="140" t="s">
        <v>73</v>
      </c>
      <c r="C108" s="140" t="s">
        <v>71</v>
      </c>
      <c r="D108" s="144">
        <v>0</v>
      </c>
      <c r="E108" s="144">
        <v>0</v>
      </c>
    </row>
    <row r="109" spans="1:6">
      <c r="A109" s="140" t="s">
        <v>51</v>
      </c>
      <c r="B109" s="140" t="s">
        <v>55</v>
      </c>
      <c r="C109" s="140" t="s">
        <v>62</v>
      </c>
      <c r="D109" s="145">
        <v>-134.44</v>
      </c>
      <c r="E109" s="145">
        <v>-134.44</v>
      </c>
    </row>
    <row r="110" spans="1:6">
      <c r="A110" s="140" t="s">
        <v>51</v>
      </c>
      <c r="B110" s="140" t="s">
        <v>115</v>
      </c>
      <c r="C110" s="140" t="s">
        <v>180</v>
      </c>
      <c r="D110" s="145">
        <v>-232.8</v>
      </c>
      <c r="E110" s="145">
        <v>-232.8</v>
      </c>
    </row>
    <row r="111" spans="1:6">
      <c r="A111" s="140" t="s">
        <v>51</v>
      </c>
      <c r="B111" s="140" t="s">
        <v>181</v>
      </c>
      <c r="C111" s="140" t="s">
        <v>182</v>
      </c>
      <c r="D111" s="145">
        <v>-1200</v>
      </c>
      <c r="E111" s="145">
        <v>-1200</v>
      </c>
    </row>
    <row r="112" spans="1:6">
      <c r="A112" s="140" t="s">
        <v>51</v>
      </c>
      <c r="B112" s="140" t="s">
        <v>168</v>
      </c>
      <c r="C112" s="140" t="s">
        <v>183</v>
      </c>
      <c r="D112" s="145">
        <v>-1217.5</v>
      </c>
      <c r="E112" s="145">
        <v>-1217.5</v>
      </c>
    </row>
    <row r="113" spans="1:6" ht="30">
      <c r="A113" s="140" t="s">
        <v>51</v>
      </c>
      <c r="B113" s="140" t="s">
        <v>160</v>
      </c>
      <c r="C113" s="140" t="s">
        <v>161</v>
      </c>
      <c r="D113" s="145">
        <v>-2352.16</v>
      </c>
      <c r="E113" s="145">
        <v>-2352.16</v>
      </c>
    </row>
    <row r="114" spans="1:6">
      <c r="A114" s="140" t="s">
        <v>51</v>
      </c>
      <c r="B114" s="140" t="s">
        <v>106</v>
      </c>
      <c r="C114" s="140" t="s">
        <v>95</v>
      </c>
      <c r="D114" s="145">
        <v>-293.16000000000003</v>
      </c>
      <c r="E114" s="145">
        <v>-293.16000000000003</v>
      </c>
    </row>
    <row r="115" spans="1:6">
      <c r="A115" s="140" t="s">
        <v>51</v>
      </c>
      <c r="B115" s="140" t="s">
        <v>51</v>
      </c>
      <c r="C115" s="140" t="s">
        <v>184</v>
      </c>
      <c r="D115" s="145">
        <v>-843.32</v>
      </c>
      <c r="E115" s="145">
        <v>-843.32</v>
      </c>
    </row>
    <row r="116" spans="1:6">
      <c r="A116" s="140" t="s">
        <v>51</v>
      </c>
      <c r="B116" s="140" t="s">
        <v>51</v>
      </c>
      <c r="C116" s="140" t="s">
        <v>185</v>
      </c>
      <c r="D116" s="145">
        <v>-1235.25</v>
      </c>
      <c r="E116" s="145">
        <v>-1235.25</v>
      </c>
    </row>
    <row r="117" spans="1:6">
      <c r="A117" s="140" t="s">
        <v>51</v>
      </c>
      <c r="B117" s="140" t="s">
        <v>121</v>
      </c>
      <c r="C117" s="140" t="s">
        <v>162</v>
      </c>
      <c r="D117" s="145">
        <v>-2620.42</v>
      </c>
      <c r="E117" s="145">
        <v>-2620.42</v>
      </c>
    </row>
    <row r="118" spans="1:6">
      <c r="A118" s="140" t="s">
        <v>51</v>
      </c>
      <c r="B118" s="140" t="s">
        <v>143</v>
      </c>
      <c r="C118" s="140" t="s">
        <v>62</v>
      </c>
      <c r="D118" s="145">
        <v>-4000</v>
      </c>
      <c r="E118" s="145">
        <v>-4000</v>
      </c>
    </row>
    <row r="119" spans="1:6">
      <c r="A119" s="140" t="s">
        <v>51</v>
      </c>
      <c r="B119" s="140" t="s">
        <v>51</v>
      </c>
      <c r="C119" s="140" t="s">
        <v>63</v>
      </c>
      <c r="D119" s="145">
        <v>-4000</v>
      </c>
      <c r="E119" s="145">
        <v>-4000</v>
      </c>
    </row>
    <row r="120" spans="1:6">
      <c r="A120" s="398" t="s">
        <v>166</v>
      </c>
      <c r="B120" s="398"/>
      <c r="C120" s="398"/>
      <c r="D120" s="208">
        <f>SUM(D105:D119)</f>
        <v>-16939.75</v>
      </c>
      <c r="E120" s="208">
        <f>SUM(E105:E119)</f>
        <v>-16939.751</v>
      </c>
    </row>
    <row r="121" spans="1:6">
      <c r="A121" s="396" t="s">
        <v>186</v>
      </c>
      <c r="B121" s="396"/>
      <c r="C121" s="396"/>
      <c r="D121" s="209">
        <f>SUM(D105:D107,D95:D96,D86,D77:D78,D18:D19,D2)</f>
        <v>256264.83999999997</v>
      </c>
      <c r="E121" s="209">
        <f>SUM(E105:E107,E95:E96,E86,E77:E78,E18:E19,E2)</f>
        <v>256264.8199</v>
      </c>
      <c r="F121" s="210">
        <v>1</v>
      </c>
    </row>
    <row r="122" spans="1:6">
      <c r="A122" s="397" t="s">
        <v>187</v>
      </c>
      <c r="B122" s="397"/>
      <c r="C122" s="397"/>
      <c r="D122" s="211">
        <f>SUM(D109:D119,D98:D103,D88:D93,D80:D84,D21:D75,D3:D16)</f>
        <v>-130192.01000000001</v>
      </c>
      <c r="E122" s="211">
        <f>SUM(E109:E119,E98:E103,E88:E93,E80:E84,E21:E75,E3:E16)</f>
        <v>-130033.29000000001</v>
      </c>
      <c r="F122" s="212">
        <f>130033.29/219012.38</f>
        <v>0.59372575194151123</v>
      </c>
    </row>
    <row r="123" spans="1:6">
      <c r="A123" s="395" t="s">
        <v>188</v>
      </c>
      <c r="B123" s="395"/>
      <c r="C123" s="395"/>
      <c r="D123" s="213">
        <f>D121+D122</f>
        <v>126072.82999999996</v>
      </c>
      <c r="E123" s="213">
        <f>E121+E122</f>
        <v>126231.52989999999</v>
      </c>
      <c r="F123" s="214">
        <f>E123/E121</f>
        <v>0.49258236050214865</v>
      </c>
    </row>
    <row r="125" spans="1:6">
      <c r="A125" s="396" t="s">
        <v>189</v>
      </c>
      <c r="B125" s="396"/>
      <c r="C125" s="396"/>
      <c r="D125" s="209">
        <f>SUM(D95:D96,D86,D77:D78,D18:D19,D2)</f>
        <v>255075.53999999998</v>
      </c>
      <c r="E125" s="209">
        <f>SUM(E95:E96,E86,E77:E78,E18:E19,E2)</f>
        <v>255075.5209</v>
      </c>
      <c r="F125" s="210">
        <v>1</v>
      </c>
    </row>
    <row r="126" spans="1:6">
      <c r="A126" s="397" t="s">
        <v>190</v>
      </c>
      <c r="B126" s="397"/>
      <c r="C126" s="397"/>
      <c r="D126" s="211">
        <f>SUM(D98:D103,D88:D93,D80:D84,D21:D75,D3:D16)</f>
        <v>-112062.95999999998</v>
      </c>
      <c r="E126" s="211">
        <f>SUM(E98:E103,E88:E93,E80:E84,E21:E75,E3:E16)</f>
        <v>-111904.23999999998</v>
      </c>
      <c r="F126" s="212">
        <f>(E126*-1)/E125</f>
        <v>0.43871022826949746</v>
      </c>
    </row>
    <row r="127" spans="1:6">
      <c r="A127" s="395" t="s">
        <v>191</v>
      </c>
      <c r="B127" s="395"/>
      <c r="C127" s="395"/>
      <c r="D127" s="213">
        <f>D125+D126</f>
        <v>143012.58000000002</v>
      </c>
      <c r="E127" s="213">
        <f>E125+E126</f>
        <v>143171.28090000001</v>
      </c>
      <c r="F127" s="214">
        <f>E127/E125</f>
        <v>0.56128977173050243</v>
      </c>
    </row>
    <row r="129" spans="1:6">
      <c r="A129" s="396" t="s">
        <v>192</v>
      </c>
      <c r="B129" s="396"/>
      <c r="C129" s="396"/>
      <c r="D129" s="209">
        <f>SUM(D105:D107)</f>
        <v>1189.3</v>
      </c>
      <c r="E129" s="209">
        <f>SUM(E105:E107)</f>
        <v>1189.299</v>
      </c>
      <c r="F129" s="210">
        <v>1</v>
      </c>
    </row>
    <row r="130" spans="1:6">
      <c r="A130" s="397" t="s">
        <v>193</v>
      </c>
      <c r="B130" s="397"/>
      <c r="C130" s="397"/>
      <c r="D130" s="211">
        <f>SUM(D109:D119)</f>
        <v>-18129.05</v>
      </c>
      <c r="E130" s="211">
        <f>SUM(E109:E119)</f>
        <v>-18129.05</v>
      </c>
      <c r="F130" s="212">
        <f>(E130/E129)</f>
        <v>-15.243475358173175</v>
      </c>
    </row>
    <row r="131" spans="1:6">
      <c r="A131" s="395" t="s">
        <v>194</v>
      </c>
      <c r="B131" s="395"/>
      <c r="C131" s="395"/>
      <c r="D131" s="213">
        <f>D129+D130</f>
        <v>-16939.75</v>
      </c>
      <c r="E131" s="213">
        <f>E129+E130</f>
        <v>-16939.751</v>
      </c>
      <c r="F131" s="214">
        <f>E131/E129</f>
        <v>-14.243475358173177</v>
      </c>
    </row>
    <row r="133" spans="1:6">
      <c r="A133" s="396" t="s">
        <v>195</v>
      </c>
      <c r="B133" s="396"/>
      <c r="C133" s="396"/>
      <c r="D133" s="209">
        <f>SUM(D95:D96,D86,D77:D78,D18:D19)</f>
        <v>115394.95999999999</v>
      </c>
      <c r="E133" s="209">
        <f>SUM(E95:E96,E86,E77:E78,E18:E19)</f>
        <v>115394.9409</v>
      </c>
      <c r="F133" s="210">
        <v>1</v>
      </c>
    </row>
    <row r="134" spans="1:6">
      <c r="A134" s="397" t="s">
        <v>196</v>
      </c>
      <c r="B134" s="397"/>
      <c r="C134" s="397"/>
      <c r="D134" s="211">
        <f>SUM(D98:D103,D88:D93,D80:D84,D21:D75)</f>
        <v>-68069.659999999989</v>
      </c>
      <c r="E134" s="211">
        <f>SUM(E98:E103,E88:E93,E80:E84,E21:E75)</f>
        <v>-67910.939999999988</v>
      </c>
      <c r="F134" s="212">
        <f>(E134*-1)/E133</f>
        <v>0.58850881564080759</v>
      </c>
    </row>
    <row r="135" spans="1:6">
      <c r="A135" s="395" t="s">
        <v>197</v>
      </c>
      <c r="B135" s="395"/>
      <c r="C135" s="395"/>
      <c r="D135" s="213">
        <f>D133+D134</f>
        <v>47325.3</v>
      </c>
      <c r="E135" s="213">
        <f>E133+E134</f>
        <v>47484.000900000014</v>
      </c>
      <c r="F135" s="214">
        <f>E135/E133</f>
        <v>0.41149118435919241</v>
      </c>
    </row>
  </sheetData>
  <mergeCells count="18">
    <mergeCell ref="A120:C120"/>
    <mergeCell ref="A17:C17"/>
    <mergeCell ref="A76:C76"/>
    <mergeCell ref="A85:C85"/>
    <mergeCell ref="A94:C94"/>
    <mergeCell ref="A104:C104"/>
    <mergeCell ref="A135:C135"/>
    <mergeCell ref="A121:C121"/>
    <mergeCell ref="A122:C122"/>
    <mergeCell ref="A123:C123"/>
    <mergeCell ref="A125:C125"/>
    <mergeCell ref="A126:C126"/>
    <mergeCell ref="A127:C127"/>
    <mergeCell ref="A129:C129"/>
    <mergeCell ref="A130:C130"/>
    <mergeCell ref="A131:C131"/>
    <mergeCell ref="A133:C133"/>
    <mergeCell ref="A134:C134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A5202-295A-4917-A090-E7411F1B43E1}">
  <sheetPr>
    <tabColor rgb="FF00B050"/>
  </sheetPr>
  <dimension ref="A1:D133"/>
  <sheetViews>
    <sheetView zoomScale="130" zoomScaleNormal="130" workbookViewId="0">
      <selection activeCell="A2" sqref="A2"/>
    </sheetView>
  </sheetViews>
  <sheetFormatPr baseColWidth="10" defaultColWidth="37.5" defaultRowHeight="15"/>
  <sheetData>
    <row r="1" spans="1:4">
      <c r="A1" s="131" t="s">
        <v>44</v>
      </c>
      <c r="B1" s="131" t="s">
        <v>45</v>
      </c>
      <c r="C1" s="131" t="s">
        <v>46</v>
      </c>
      <c r="D1" s="132" t="s">
        <v>47</v>
      </c>
    </row>
    <row r="2" spans="1:4">
      <c r="A2" s="133" t="s">
        <v>48</v>
      </c>
      <c r="B2" s="133" t="s">
        <v>49</v>
      </c>
      <c r="C2" s="133" t="s">
        <v>50</v>
      </c>
      <c r="D2" s="134">
        <v>29746</v>
      </c>
    </row>
    <row r="3" spans="1:4">
      <c r="A3" s="133" t="s">
        <v>51</v>
      </c>
      <c r="B3" s="133" t="s">
        <v>52</v>
      </c>
      <c r="C3" s="133" t="s">
        <v>53</v>
      </c>
      <c r="D3" s="135">
        <v>-1794.98</v>
      </c>
    </row>
    <row r="4" spans="1:4">
      <c r="A4" s="133" t="s">
        <v>51</v>
      </c>
      <c r="B4" s="133" t="s">
        <v>54</v>
      </c>
      <c r="C4" s="133" t="s">
        <v>50</v>
      </c>
      <c r="D4" s="135">
        <v>-1875</v>
      </c>
    </row>
    <row r="5" spans="1:4">
      <c r="A5" s="133" t="s">
        <v>51</v>
      </c>
      <c r="B5" s="133" t="s">
        <v>55</v>
      </c>
      <c r="C5" s="133" t="s">
        <v>56</v>
      </c>
      <c r="D5" s="135">
        <v>-231.72</v>
      </c>
    </row>
    <row r="6" spans="1:4">
      <c r="A6" s="133" t="s">
        <v>51</v>
      </c>
      <c r="B6" s="133" t="s">
        <v>51</v>
      </c>
      <c r="C6" s="133" t="s">
        <v>57</v>
      </c>
      <c r="D6" s="135">
        <v>-231.72</v>
      </c>
    </row>
    <row r="7" spans="1:4">
      <c r="A7" s="133" t="s">
        <v>51</v>
      </c>
      <c r="B7" s="133" t="s">
        <v>51</v>
      </c>
      <c r="C7" s="133" t="s">
        <v>58</v>
      </c>
      <c r="D7" s="135">
        <v>-231.72</v>
      </c>
    </row>
    <row r="8" spans="1:4">
      <c r="A8" s="133" t="s">
        <v>51</v>
      </c>
      <c r="B8" s="133" t="s">
        <v>51</v>
      </c>
      <c r="C8" s="133" t="s">
        <v>59</v>
      </c>
      <c r="D8" s="135">
        <v>-239.13</v>
      </c>
    </row>
    <row r="9" spans="1:4">
      <c r="A9" s="133" t="s">
        <v>51</v>
      </c>
      <c r="B9" s="133" t="s">
        <v>51</v>
      </c>
      <c r="C9" s="133" t="s">
        <v>60</v>
      </c>
      <c r="D9" s="135">
        <v>-278.5</v>
      </c>
    </row>
    <row r="10" spans="1:4">
      <c r="A10" s="133" t="s">
        <v>51</v>
      </c>
      <c r="B10" s="133" t="s">
        <v>51</v>
      </c>
      <c r="C10" s="133" t="s">
        <v>61</v>
      </c>
      <c r="D10" s="135">
        <v>-287.39</v>
      </c>
    </row>
    <row r="11" spans="1:4">
      <c r="A11" s="133" t="s">
        <v>51</v>
      </c>
      <c r="B11" s="133" t="s">
        <v>51</v>
      </c>
      <c r="C11" s="133" t="s">
        <v>62</v>
      </c>
      <c r="D11" s="135">
        <v>-316.18</v>
      </c>
    </row>
    <row r="12" spans="1:4">
      <c r="A12" s="133" t="s">
        <v>51</v>
      </c>
      <c r="B12" s="133" t="s">
        <v>51</v>
      </c>
      <c r="C12" s="133" t="s">
        <v>63</v>
      </c>
      <c r="D12" s="135">
        <v>-468.52</v>
      </c>
    </row>
    <row r="13" spans="1:4">
      <c r="A13" s="133" t="s">
        <v>51</v>
      </c>
      <c r="B13" s="133" t="s">
        <v>51</v>
      </c>
      <c r="C13" s="133" t="s">
        <v>64</v>
      </c>
      <c r="D13" s="135">
        <v>-510.22</v>
      </c>
    </row>
    <row r="14" spans="1:4">
      <c r="A14" s="133" t="s">
        <v>51</v>
      </c>
      <c r="B14" s="133" t="s">
        <v>65</v>
      </c>
      <c r="C14" s="133" t="s">
        <v>66</v>
      </c>
      <c r="D14" s="135">
        <v>-6316.2</v>
      </c>
    </row>
    <row r="15" spans="1:4">
      <c r="A15" s="133"/>
      <c r="B15" s="133"/>
      <c r="C15" s="136" t="s">
        <v>67</v>
      </c>
      <c r="D15" s="137">
        <f>SUM(D3:D14)</f>
        <v>-12781.28</v>
      </c>
    </row>
    <row r="16" spans="1:4">
      <c r="A16" s="133"/>
      <c r="B16" s="133"/>
      <c r="C16" s="138" t="s">
        <v>68</v>
      </c>
      <c r="D16" s="139">
        <f>D2+D15</f>
        <v>16964.72</v>
      </c>
    </row>
    <row r="17" spans="1:4">
      <c r="A17" s="140" t="s">
        <v>34</v>
      </c>
      <c r="B17" s="140" t="s">
        <v>49</v>
      </c>
      <c r="C17" s="140" t="s">
        <v>69</v>
      </c>
      <c r="D17" s="141">
        <v>9678.56</v>
      </c>
    </row>
    <row r="18" spans="1:4">
      <c r="A18" s="140" t="s">
        <v>51</v>
      </c>
      <c r="B18" s="140" t="s">
        <v>51</v>
      </c>
      <c r="C18" s="140" t="s">
        <v>70</v>
      </c>
      <c r="D18" s="141">
        <v>3125</v>
      </c>
    </row>
    <row r="19" spans="1:4">
      <c r="A19" s="140" t="s">
        <v>51</v>
      </c>
      <c r="B19" s="140" t="s">
        <v>51</v>
      </c>
      <c r="C19" s="140" t="s">
        <v>71</v>
      </c>
      <c r="D19" s="141">
        <v>1169.731</v>
      </c>
    </row>
    <row r="20" spans="1:4">
      <c r="A20" s="140"/>
      <c r="B20" s="140"/>
      <c r="C20" s="142" t="s">
        <v>72</v>
      </c>
      <c r="D20" s="143">
        <f>SUM(D17:D19)</f>
        <v>13973.290999999999</v>
      </c>
    </row>
    <row r="21" spans="1:4">
      <c r="A21" s="140" t="s">
        <v>51</v>
      </c>
      <c r="B21" s="140" t="s">
        <v>73</v>
      </c>
      <c r="C21" s="140" t="s">
        <v>71</v>
      </c>
      <c r="D21" s="144">
        <v>0</v>
      </c>
    </row>
    <row r="22" spans="1:4">
      <c r="A22" s="140" t="s">
        <v>51</v>
      </c>
      <c r="B22" s="140" t="s">
        <v>74</v>
      </c>
      <c r="C22" s="140" t="s">
        <v>75</v>
      </c>
      <c r="D22" s="145">
        <v>-95</v>
      </c>
    </row>
    <row r="23" spans="1:4">
      <c r="A23" s="140" t="s">
        <v>51</v>
      </c>
      <c r="B23" s="140" t="s">
        <v>76</v>
      </c>
      <c r="C23" s="140" t="s">
        <v>77</v>
      </c>
      <c r="D23" s="145">
        <v>-99.9</v>
      </c>
    </row>
    <row r="24" spans="1:4">
      <c r="A24" s="140" t="s">
        <v>51</v>
      </c>
      <c r="B24" s="140" t="s">
        <v>55</v>
      </c>
      <c r="C24" s="140" t="s">
        <v>78</v>
      </c>
      <c r="D24" s="145">
        <v>-122.4</v>
      </c>
    </row>
    <row r="25" spans="1:4">
      <c r="A25" s="140" t="s">
        <v>51</v>
      </c>
      <c r="B25" s="140" t="s">
        <v>51</v>
      </c>
      <c r="C25" s="140" t="s">
        <v>64</v>
      </c>
      <c r="D25" s="145">
        <v>-255.39</v>
      </c>
    </row>
    <row r="26" spans="1:4">
      <c r="A26" s="140" t="s">
        <v>51</v>
      </c>
      <c r="B26" s="140" t="s">
        <v>79</v>
      </c>
      <c r="C26" s="140" t="s">
        <v>78</v>
      </c>
      <c r="D26" s="145">
        <v>-2000</v>
      </c>
    </row>
    <row r="27" spans="1:4">
      <c r="A27" s="140"/>
      <c r="B27" s="140"/>
      <c r="C27" s="146" t="s">
        <v>67</v>
      </c>
      <c r="D27" s="147">
        <f>SUM(D22:D26)</f>
        <v>-2572.69</v>
      </c>
    </row>
    <row r="28" spans="1:4">
      <c r="A28" s="140"/>
      <c r="B28" s="140"/>
      <c r="C28" s="148" t="s">
        <v>80</v>
      </c>
      <c r="D28" s="149">
        <f>D20+D27</f>
        <v>11400.600999999999</v>
      </c>
    </row>
    <row r="29" spans="1:4">
      <c r="A29" s="150" t="s">
        <v>81</v>
      </c>
      <c r="B29" s="150" t="s">
        <v>49</v>
      </c>
      <c r="C29" s="150" t="s">
        <v>71</v>
      </c>
      <c r="D29" s="151">
        <v>102335.69</v>
      </c>
    </row>
    <row r="30" spans="1:4">
      <c r="A30" s="150" t="s">
        <v>51</v>
      </c>
      <c r="B30" s="150" t="s">
        <v>82</v>
      </c>
      <c r="C30" s="150" t="s">
        <v>71</v>
      </c>
      <c r="D30" s="151">
        <v>7485</v>
      </c>
    </row>
    <row r="31" spans="1:4">
      <c r="A31" s="150" t="s">
        <v>51</v>
      </c>
      <c r="B31" s="150" t="s">
        <v>83</v>
      </c>
      <c r="C31" s="150" t="s">
        <v>84</v>
      </c>
      <c r="D31" s="151">
        <v>28.24</v>
      </c>
    </row>
    <row r="32" spans="1:4">
      <c r="A32" s="150"/>
      <c r="B32" s="150"/>
      <c r="C32" s="152" t="s">
        <v>72</v>
      </c>
      <c r="D32" s="153">
        <f>SUM(D29:D31)</f>
        <v>109848.93000000001</v>
      </c>
    </row>
    <row r="33" spans="1:4">
      <c r="A33" s="150" t="s">
        <v>51</v>
      </c>
      <c r="B33" s="150" t="s">
        <v>73</v>
      </c>
      <c r="C33" s="150" t="s">
        <v>71</v>
      </c>
      <c r="D33" s="154">
        <v>0</v>
      </c>
    </row>
    <row r="34" spans="1:4">
      <c r="A34" s="150" t="s">
        <v>51</v>
      </c>
      <c r="B34" s="150" t="s">
        <v>85</v>
      </c>
      <c r="C34" s="150" t="s">
        <v>86</v>
      </c>
      <c r="D34" s="155">
        <v>-63.91</v>
      </c>
    </row>
    <row r="35" spans="1:4">
      <c r="A35" s="150" t="s">
        <v>51</v>
      </c>
      <c r="B35" s="150" t="s">
        <v>87</v>
      </c>
      <c r="C35" s="150" t="s">
        <v>88</v>
      </c>
      <c r="D35" s="155">
        <v>-40</v>
      </c>
    </row>
    <row r="36" spans="1:4">
      <c r="A36" s="150" t="s">
        <v>51</v>
      </c>
      <c r="B36" s="150" t="s">
        <v>51</v>
      </c>
      <c r="C36" s="150" t="s">
        <v>89</v>
      </c>
      <c r="D36" s="155">
        <v>-140</v>
      </c>
    </row>
    <row r="37" spans="1:4">
      <c r="A37" s="150" t="s">
        <v>51</v>
      </c>
      <c r="B37" s="150" t="s">
        <v>90</v>
      </c>
      <c r="C37" s="150" t="s">
        <v>91</v>
      </c>
      <c r="D37" s="155">
        <v>-195.45</v>
      </c>
    </row>
    <row r="38" spans="1:4">
      <c r="A38" s="150" t="s">
        <v>51</v>
      </c>
      <c r="B38" s="150" t="s">
        <v>92</v>
      </c>
      <c r="C38" s="150" t="s">
        <v>91</v>
      </c>
      <c r="D38" s="155">
        <v>-197.11</v>
      </c>
    </row>
    <row r="39" spans="1:4">
      <c r="A39" s="150" t="s">
        <v>51</v>
      </c>
      <c r="B39" s="150" t="s">
        <v>93</v>
      </c>
      <c r="C39" s="150" t="s">
        <v>57</v>
      </c>
      <c r="D39" s="155">
        <v>-200</v>
      </c>
    </row>
    <row r="40" spans="1:4">
      <c r="A40" s="150" t="s">
        <v>51</v>
      </c>
      <c r="B40" s="150" t="s">
        <v>94</v>
      </c>
      <c r="C40" s="150" t="s">
        <v>95</v>
      </c>
      <c r="D40" s="155">
        <v>-227.16</v>
      </c>
    </row>
    <row r="41" spans="1:4">
      <c r="A41" s="150" t="s">
        <v>51</v>
      </c>
      <c r="B41" s="150" t="s">
        <v>65</v>
      </c>
      <c r="C41" s="150" t="s">
        <v>96</v>
      </c>
      <c r="D41" s="155">
        <v>-41.06</v>
      </c>
    </row>
    <row r="42" spans="1:4">
      <c r="A42" s="150" t="s">
        <v>51</v>
      </c>
      <c r="B42" s="150" t="s">
        <v>51</v>
      </c>
      <c r="C42" s="150" t="s">
        <v>97</v>
      </c>
      <c r="D42" s="155">
        <v>-234.9</v>
      </c>
    </row>
    <row r="43" spans="1:4">
      <c r="A43" s="150" t="s">
        <v>51</v>
      </c>
      <c r="B43" s="150" t="s">
        <v>98</v>
      </c>
      <c r="C43" s="150" t="s">
        <v>99</v>
      </c>
      <c r="D43" s="155">
        <v>-27.98</v>
      </c>
    </row>
    <row r="44" spans="1:4">
      <c r="A44" s="150" t="s">
        <v>51</v>
      </c>
      <c r="B44" s="150" t="s">
        <v>51</v>
      </c>
      <c r="C44" s="150" t="s">
        <v>100</v>
      </c>
      <c r="D44" s="155">
        <v>-91.29</v>
      </c>
    </row>
    <row r="45" spans="1:4">
      <c r="A45" s="150" t="s">
        <v>51</v>
      </c>
      <c r="B45" s="150" t="s">
        <v>51</v>
      </c>
      <c r="C45" s="150" t="s">
        <v>101</v>
      </c>
      <c r="D45" s="155">
        <v>-215.96</v>
      </c>
    </row>
    <row r="46" spans="1:4">
      <c r="A46" s="150" t="s">
        <v>51</v>
      </c>
      <c r="B46" s="150" t="s">
        <v>102</v>
      </c>
      <c r="C46" s="150" t="s">
        <v>103</v>
      </c>
      <c r="D46" s="155">
        <v>-396.77</v>
      </c>
    </row>
    <row r="47" spans="1:4">
      <c r="A47" s="150" t="s">
        <v>51</v>
      </c>
      <c r="B47" s="150" t="s">
        <v>104</v>
      </c>
      <c r="C47" s="150" t="s">
        <v>105</v>
      </c>
      <c r="D47" s="155">
        <v>-433.49</v>
      </c>
    </row>
    <row r="48" spans="1:4">
      <c r="A48" s="150" t="s">
        <v>51</v>
      </c>
      <c r="B48" s="150" t="s">
        <v>106</v>
      </c>
      <c r="C48" s="150" t="s">
        <v>96</v>
      </c>
      <c r="D48" s="155">
        <v>-89.07</v>
      </c>
    </row>
    <row r="49" spans="1:4">
      <c r="A49" s="150" t="s">
        <v>51</v>
      </c>
      <c r="B49" s="150" t="s">
        <v>51</v>
      </c>
      <c r="C49" s="150" t="s">
        <v>95</v>
      </c>
      <c r="D49" s="155">
        <v>-135.47999999999999</v>
      </c>
    </row>
    <row r="50" spans="1:4">
      <c r="A50" s="150" t="s">
        <v>51</v>
      </c>
      <c r="B50" s="150" t="s">
        <v>51</v>
      </c>
      <c r="C50" s="150" t="s">
        <v>107</v>
      </c>
      <c r="D50" s="155">
        <v>-399.89</v>
      </c>
    </row>
    <row r="51" spans="1:4">
      <c r="A51" s="150" t="s">
        <v>51</v>
      </c>
      <c r="B51" s="150" t="s">
        <v>74</v>
      </c>
      <c r="C51" s="150" t="s">
        <v>108</v>
      </c>
      <c r="D51" s="155">
        <v>-196.19</v>
      </c>
    </row>
    <row r="52" spans="1:4">
      <c r="A52" s="150" t="s">
        <v>51</v>
      </c>
      <c r="B52" s="150" t="s">
        <v>51</v>
      </c>
      <c r="C52" s="150" t="s">
        <v>109</v>
      </c>
      <c r="D52" s="155">
        <v>-460</v>
      </c>
    </row>
    <row r="53" spans="1:4" ht="30">
      <c r="A53" s="150" t="s">
        <v>51</v>
      </c>
      <c r="B53" s="150" t="s">
        <v>110</v>
      </c>
      <c r="C53" s="150" t="s">
        <v>111</v>
      </c>
      <c r="D53" s="155">
        <v>-84</v>
      </c>
    </row>
    <row r="54" spans="1:4">
      <c r="A54" s="150" t="s">
        <v>51</v>
      </c>
      <c r="B54" s="150" t="s">
        <v>51</v>
      </c>
      <c r="C54" s="150" t="s">
        <v>112</v>
      </c>
      <c r="D54" s="155">
        <v>-700</v>
      </c>
    </row>
    <row r="55" spans="1:4">
      <c r="A55" s="150" t="s">
        <v>51</v>
      </c>
      <c r="B55" s="150" t="s">
        <v>113</v>
      </c>
      <c r="C55" s="150" t="s">
        <v>114</v>
      </c>
      <c r="D55" s="155">
        <v>-850</v>
      </c>
    </row>
    <row r="56" spans="1:4">
      <c r="A56" s="150" t="s">
        <v>51</v>
      </c>
      <c r="B56" s="150" t="s">
        <v>115</v>
      </c>
      <c r="C56" s="150" t="s">
        <v>116</v>
      </c>
      <c r="D56" s="155">
        <v>-900</v>
      </c>
    </row>
    <row r="57" spans="1:4">
      <c r="A57" s="150" t="s">
        <v>51</v>
      </c>
      <c r="B57" s="150" t="s">
        <v>117</v>
      </c>
      <c r="C57" s="150" t="s">
        <v>118</v>
      </c>
      <c r="D57" s="155">
        <v>-1000</v>
      </c>
    </row>
    <row r="58" spans="1:4">
      <c r="A58" s="150" t="s">
        <v>51</v>
      </c>
      <c r="B58" s="150" t="s">
        <v>119</v>
      </c>
      <c r="C58" s="150" t="s">
        <v>120</v>
      </c>
      <c r="D58" s="155">
        <v>-1200.1399999999999</v>
      </c>
    </row>
    <row r="59" spans="1:4">
      <c r="A59" s="150" t="s">
        <v>51</v>
      </c>
      <c r="B59" s="150" t="s">
        <v>121</v>
      </c>
      <c r="C59" s="150" t="s">
        <v>122</v>
      </c>
      <c r="D59" s="155">
        <v>-2019.95</v>
      </c>
    </row>
    <row r="60" spans="1:4">
      <c r="A60" s="150" t="s">
        <v>51</v>
      </c>
      <c r="B60" s="150" t="s">
        <v>123</v>
      </c>
      <c r="C60" s="150" t="s">
        <v>124</v>
      </c>
      <c r="D60" s="155">
        <v>-2700</v>
      </c>
    </row>
    <row r="61" spans="1:4">
      <c r="A61" s="150" t="s">
        <v>51</v>
      </c>
      <c r="B61" s="150" t="s">
        <v>125</v>
      </c>
      <c r="C61" s="150" t="s">
        <v>91</v>
      </c>
      <c r="D61" s="155">
        <v>-3130.1</v>
      </c>
    </row>
    <row r="62" spans="1:4">
      <c r="A62" s="150" t="s">
        <v>51</v>
      </c>
      <c r="B62" s="150" t="s">
        <v>126</v>
      </c>
      <c r="C62" s="150" t="s">
        <v>127</v>
      </c>
      <c r="D62" s="155">
        <v>-14.5</v>
      </c>
    </row>
    <row r="63" spans="1:4">
      <c r="A63" s="150" t="s">
        <v>51</v>
      </c>
      <c r="B63" s="150" t="s">
        <v>51</v>
      </c>
      <c r="C63" s="150" t="s">
        <v>128</v>
      </c>
      <c r="D63" s="155">
        <v>-24.24</v>
      </c>
    </row>
    <row r="64" spans="1:4">
      <c r="A64" s="150" t="s">
        <v>51</v>
      </c>
      <c r="B64" s="150" t="s">
        <v>51</v>
      </c>
      <c r="C64" s="150" t="s">
        <v>129</v>
      </c>
      <c r="D64" s="155">
        <v>-38</v>
      </c>
    </row>
    <row r="65" spans="1:4">
      <c r="A65" s="150" t="s">
        <v>51</v>
      </c>
      <c r="B65" s="150" t="s">
        <v>51</v>
      </c>
      <c r="C65" s="150" t="s">
        <v>130</v>
      </c>
      <c r="D65" s="155">
        <v>-50</v>
      </c>
    </row>
    <row r="66" spans="1:4">
      <c r="A66" s="150" t="s">
        <v>51</v>
      </c>
      <c r="B66" s="150" t="s">
        <v>51</v>
      </c>
      <c r="C66" s="150" t="s">
        <v>131</v>
      </c>
      <c r="D66" s="155">
        <v>-99.9</v>
      </c>
    </row>
    <row r="67" spans="1:4">
      <c r="A67" s="150" t="s">
        <v>51</v>
      </c>
      <c r="B67" s="150" t="s">
        <v>51</v>
      </c>
      <c r="C67" s="150" t="s">
        <v>132</v>
      </c>
      <c r="D67" s="155">
        <v>-247.92</v>
      </c>
    </row>
    <row r="68" spans="1:4">
      <c r="A68" s="150" t="s">
        <v>51</v>
      </c>
      <c r="B68" s="150" t="s">
        <v>51</v>
      </c>
      <c r="C68" s="150" t="s">
        <v>133</v>
      </c>
      <c r="D68" s="155">
        <v>-311.82</v>
      </c>
    </row>
    <row r="69" spans="1:4">
      <c r="A69" s="150" t="s">
        <v>51</v>
      </c>
      <c r="B69" s="150" t="s">
        <v>51</v>
      </c>
      <c r="C69" s="150" t="s">
        <v>134</v>
      </c>
      <c r="D69" s="155">
        <v>-1116</v>
      </c>
    </row>
    <row r="70" spans="1:4">
      <c r="A70" s="150" t="s">
        <v>51</v>
      </c>
      <c r="B70" s="150" t="s">
        <v>51</v>
      </c>
      <c r="C70" s="150" t="s">
        <v>135</v>
      </c>
      <c r="D70" s="155">
        <v>-1327</v>
      </c>
    </row>
    <row r="71" spans="1:4">
      <c r="A71" s="150" t="s">
        <v>51</v>
      </c>
      <c r="B71" s="150" t="s">
        <v>136</v>
      </c>
      <c r="C71" s="150" t="s">
        <v>137</v>
      </c>
      <c r="D71" s="155">
        <v>-14.44</v>
      </c>
    </row>
    <row r="72" spans="1:4">
      <c r="A72" s="150" t="s">
        <v>51</v>
      </c>
      <c r="B72" s="150" t="s">
        <v>51</v>
      </c>
      <c r="C72" s="150" t="s">
        <v>58</v>
      </c>
      <c r="D72" s="155">
        <v>-691.68000000000006</v>
      </c>
    </row>
    <row r="73" spans="1:4">
      <c r="A73" s="150" t="s">
        <v>51</v>
      </c>
      <c r="B73" s="150" t="s">
        <v>51</v>
      </c>
      <c r="C73" s="150" t="s">
        <v>138</v>
      </c>
      <c r="D73" s="155">
        <v>-2543.91</v>
      </c>
    </row>
    <row r="74" spans="1:4">
      <c r="A74" s="150" t="s">
        <v>51</v>
      </c>
      <c r="B74" s="150" t="s">
        <v>139</v>
      </c>
      <c r="C74" s="150" t="s">
        <v>140</v>
      </c>
      <c r="D74" s="155">
        <v>-3268.91</v>
      </c>
    </row>
    <row r="75" spans="1:4">
      <c r="A75" s="150" t="s">
        <v>51</v>
      </c>
      <c r="B75" s="150" t="s">
        <v>141</v>
      </c>
      <c r="C75" s="150" t="s">
        <v>142</v>
      </c>
      <c r="D75" s="155">
        <v>-4742</v>
      </c>
    </row>
    <row r="76" spans="1:4">
      <c r="A76" s="150" t="s">
        <v>51</v>
      </c>
      <c r="B76" s="150" t="s">
        <v>79</v>
      </c>
      <c r="C76" s="150" t="s">
        <v>61</v>
      </c>
      <c r="D76" s="155">
        <v>-2000</v>
      </c>
    </row>
    <row r="77" spans="1:4">
      <c r="A77" s="150" t="s">
        <v>51</v>
      </c>
      <c r="B77" s="150" t="s">
        <v>51</v>
      </c>
      <c r="C77" s="150" t="s">
        <v>56</v>
      </c>
      <c r="D77" s="155">
        <v>-2246.0500000000002</v>
      </c>
    </row>
    <row r="78" spans="1:4">
      <c r="A78" s="150" t="s">
        <v>51</v>
      </c>
      <c r="B78" s="150" t="s">
        <v>51</v>
      </c>
      <c r="C78" s="150" t="s">
        <v>103</v>
      </c>
      <c r="D78" s="155">
        <v>-3500</v>
      </c>
    </row>
    <row r="79" spans="1:4">
      <c r="A79" s="150" t="s">
        <v>51</v>
      </c>
      <c r="B79" s="150" t="s">
        <v>143</v>
      </c>
      <c r="C79" s="150" t="s">
        <v>64</v>
      </c>
      <c r="D79" s="155">
        <v>-5000</v>
      </c>
    </row>
    <row r="80" spans="1:4">
      <c r="A80" s="150" t="s">
        <v>51</v>
      </c>
      <c r="B80" s="150" t="s">
        <v>51</v>
      </c>
      <c r="C80" s="150" t="s">
        <v>57</v>
      </c>
      <c r="D80" s="155">
        <v>-5000</v>
      </c>
    </row>
    <row r="81" spans="1:4">
      <c r="A81" s="150" t="s">
        <v>51</v>
      </c>
      <c r="B81" s="150" t="s">
        <v>51</v>
      </c>
      <c r="C81" s="150" t="s">
        <v>59</v>
      </c>
      <c r="D81" s="155">
        <v>-5000</v>
      </c>
    </row>
    <row r="82" spans="1:4">
      <c r="A82" s="150" t="s">
        <v>51</v>
      </c>
      <c r="B82" s="150" t="s">
        <v>55</v>
      </c>
      <c r="C82" s="150" t="s">
        <v>57</v>
      </c>
      <c r="D82" s="155">
        <v>-247.29</v>
      </c>
    </row>
    <row r="83" spans="1:4">
      <c r="A83" s="150" t="s">
        <v>51</v>
      </c>
      <c r="B83" s="150" t="s">
        <v>51</v>
      </c>
      <c r="C83" s="150" t="s">
        <v>64</v>
      </c>
      <c r="D83" s="155">
        <v>-501.54</v>
      </c>
    </row>
    <row r="84" spans="1:4">
      <c r="A84" s="150" t="s">
        <v>51</v>
      </c>
      <c r="B84" s="150" t="s">
        <v>51</v>
      </c>
      <c r="C84" s="150" t="s">
        <v>144</v>
      </c>
      <c r="D84" s="155">
        <v>-585</v>
      </c>
    </row>
    <row r="85" spans="1:4">
      <c r="A85" s="150" t="s">
        <v>51</v>
      </c>
      <c r="B85" s="150" t="s">
        <v>51</v>
      </c>
      <c r="C85" s="150" t="s">
        <v>56</v>
      </c>
      <c r="D85" s="155">
        <v>-600</v>
      </c>
    </row>
    <row r="86" spans="1:4">
      <c r="A86" s="150" t="s">
        <v>51</v>
      </c>
      <c r="B86" s="150" t="s">
        <v>51</v>
      </c>
      <c r="C86" s="150" t="s">
        <v>59</v>
      </c>
      <c r="D86" s="155">
        <v>-1683.75</v>
      </c>
    </row>
    <row r="87" spans="1:4">
      <c r="A87" s="150" t="s">
        <v>51</v>
      </c>
      <c r="B87" s="150" t="s">
        <v>51</v>
      </c>
      <c r="C87" s="150" t="s">
        <v>58</v>
      </c>
      <c r="D87" s="155">
        <v>-4471.66</v>
      </c>
    </row>
    <row r="88" spans="1:4">
      <c r="A88" s="150" t="s">
        <v>51</v>
      </c>
      <c r="B88" s="150" t="s">
        <v>51</v>
      </c>
      <c r="C88" s="150" t="s">
        <v>61</v>
      </c>
      <c r="D88" s="155">
        <v>-7672.88</v>
      </c>
    </row>
    <row r="89" spans="1:4">
      <c r="A89" s="150" t="s">
        <v>51</v>
      </c>
      <c r="B89" s="150" t="s">
        <v>51</v>
      </c>
      <c r="C89" s="150" t="s">
        <v>60</v>
      </c>
      <c r="D89" s="155">
        <v>-8036.33</v>
      </c>
    </row>
    <row r="90" spans="1:4">
      <c r="A90" s="150" t="s">
        <v>51</v>
      </c>
      <c r="B90" s="150" t="s">
        <v>145</v>
      </c>
      <c r="C90" s="150" t="s">
        <v>91</v>
      </c>
      <c r="D90" s="155">
        <v>-23814.26</v>
      </c>
    </row>
    <row r="91" spans="1:4">
      <c r="A91" s="150"/>
      <c r="B91" s="150"/>
      <c r="C91" s="156" t="s">
        <v>67</v>
      </c>
      <c r="D91" s="157">
        <f>SUM(D34:D90)</f>
        <v>-101218.98000000001</v>
      </c>
    </row>
    <row r="92" spans="1:4">
      <c r="A92" s="150"/>
      <c r="B92" s="150"/>
      <c r="C92" s="158" t="s">
        <v>146</v>
      </c>
      <c r="D92" s="159">
        <f>D32+D91</f>
        <v>8629.9499999999971</v>
      </c>
    </row>
    <row r="93" spans="1:4">
      <c r="A93" s="160" t="s">
        <v>35</v>
      </c>
      <c r="B93" s="160" t="s">
        <v>49</v>
      </c>
      <c r="C93" s="160" t="s">
        <v>71</v>
      </c>
      <c r="D93" s="161">
        <v>8224.9374000000007</v>
      </c>
    </row>
    <row r="94" spans="1:4">
      <c r="A94" s="160" t="s">
        <v>51</v>
      </c>
      <c r="B94" s="160" t="s">
        <v>73</v>
      </c>
      <c r="C94" s="160" t="s">
        <v>71</v>
      </c>
      <c r="D94" s="162">
        <v>0</v>
      </c>
    </row>
    <row r="95" spans="1:4">
      <c r="A95" s="160" t="s">
        <v>51</v>
      </c>
      <c r="B95" s="160" t="s">
        <v>55</v>
      </c>
      <c r="C95" s="160" t="s">
        <v>60</v>
      </c>
      <c r="D95" s="163">
        <v>-37.78</v>
      </c>
    </row>
    <row r="96" spans="1:4">
      <c r="A96" s="160" t="s">
        <v>51</v>
      </c>
      <c r="B96" s="160" t="s">
        <v>51</v>
      </c>
      <c r="C96" s="160" t="s">
        <v>57</v>
      </c>
      <c r="D96" s="163">
        <v>-181.44</v>
      </c>
    </row>
    <row r="97" spans="1:4">
      <c r="A97" s="160" t="s">
        <v>51</v>
      </c>
      <c r="B97" s="160" t="s">
        <v>51</v>
      </c>
      <c r="C97" s="160" t="s">
        <v>58</v>
      </c>
      <c r="D97" s="163">
        <v>-239.18</v>
      </c>
    </row>
    <row r="98" spans="1:4">
      <c r="A98" s="160" t="s">
        <v>51</v>
      </c>
      <c r="B98" s="160" t="s">
        <v>51</v>
      </c>
      <c r="C98" s="160" t="s">
        <v>61</v>
      </c>
      <c r="D98" s="163">
        <v>-285.10000000000002</v>
      </c>
    </row>
    <row r="99" spans="1:4">
      <c r="A99" s="160" t="s">
        <v>51</v>
      </c>
      <c r="B99" s="160" t="s">
        <v>51</v>
      </c>
      <c r="C99" s="160" t="s">
        <v>64</v>
      </c>
      <c r="D99" s="163">
        <v>-667.9</v>
      </c>
    </row>
    <row r="100" spans="1:4">
      <c r="A100" s="160" t="s">
        <v>51</v>
      </c>
      <c r="B100" s="160" t="s">
        <v>51</v>
      </c>
      <c r="C100" s="160" t="s">
        <v>59</v>
      </c>
      <c r="D100" s="163">
        <v>-818.04</v>
      </c>
    </row>
    <row r="101" spans="1:4">
      <c r="A101" s="160"/>
      <c r="B101" s="160"/>
      <c r="C101" s="164" t="s">
        <v>67</v>
      </c>
      <c r="D101" s="165">
        <f>SUM(D95:D100)</f>
        <v>-2229.44</v>
      </c>
    </row>
    <row r="102" spans="1:4">
      <c r="A102" s="160"/>
      <c r="B102" s="160"/>
      <c r="C102" s="166" t="s">
        <v>147</v>
      </c>
      <c r="D102" s="167">
        <f>D93+D101</f>
        <v>5995.4974000000002</v>
      </c>
    </row>
    <row r="103" spans="1:4">
      <c r="A103" s="168" t="s">
        <v>148</v>
      </c>
      <c r="B103" s="168" t="s">
        <v>49</v>
      </c>
      <c r="C103" s="168" t="s">
        <v>71</v>
      </c>
      <c r="D103" s="169">
        <v>4799.96</v>
      </c>
    </row>
    <row r="104" spans="1:4">
      <c r="A104" s="168" t="s">
        <v>51</v>
      </c>
      <c r="B104" s="168" t="s">
        <v>87</v>
      </c>
      <c r="C104" s="168" t="s">
        <v>149</v>
      </c>
      <c r="D104" s="170">
        <v>-76.02</v>
      </c>
    </row>
    <row r="105" spans="1:4">
      <c r="A105" s="168" t="s">
        <v>51</v>
      </c>
      <c r="B105" s="168" t="s">
        <v>55</v>
      </c>
      <c r="C105" s="168" t="s">
        <v>60</v>
      </c>
      <c r="D105" s="170">
        <v>-33.65</v>
      </c>
    </row>
    <row r="106" spans="1:4">
      <c r="A106" s="168" t="s">
        <v>51</v>
      </c>
      <c r="B106" s="168" t="s">
        <v>51</v>
      </c>
      <c r="C106" s="168" t="s">
        <v>57</v>
      </c>
      <c r="D106" s="170">
        <v>-43.84</v>
      </c>
    </row>
    <row r="107" spans="1:4">
      <c r="A107" s="168" t="s">
        <v>51</v>
      </c>
      <c r="B107" s="168" t="s">
        <v>51</v>
      </c>
      <c r="C107" s="168" t="s">
        <v>64</v>
      </c>
      <c r="D107" s="170">
        <v>-168.4</v>
      </c>
    </row>
    <row r="108" spans="1:4">
      <c r="A108" s="168" t="s">
        <v>51</v>
      </c>
      <c r="B108" s="168" t="s">
        <v>51</v>
      </c>
      <c r="C108" s="168" t="s">
        <v>59</v>
      </c>
      <c r="D108" s="170">
        <v>-247.62</v>
      </c>
    </row>
    <row r="109" spans="1:4">
      <c r="A109" s="168" t="s">
        <v>51</v>
      </c>
      <c r="B109" s="168" t="s">
        <v>51</v>
      </c>
      <c r="C109" s="168" t="s">
        <v>58</v>
      </c>
      <c r="D109" s="170">
        <v>-369.3</v>
      </c>
    </row>
    <row r="110" spans="1:4">
      <c r="A110" s="168" t="s">
        <v>51</v>
      </c>
      <c r="B110" s="168" t="s">
        <v>51</v>
      </c>
      <c r="C110" s="168" t="s">
        <v>61</v>
      </c>
      <c r="D110" s="170">
        <v>-514.59</v>
      </c>
    </row>
    <row r="111" spans="1:4">
      <c r="A111" s="168"/>
      <c r="B111" s="168"/>
      <c r="C111" s="171" t="s">
        <v>67</v>
      </c>
      <c r="D111" s="172">
        <f>SUM(D104:D110)</f>
        <v>-1453.42</v>
      </c>
    </row>
    <row r="112" spans="1:4">
      <c r="A112" s="168"/>
      <c r="B112" s="168"/>
      <c r="C112" s="173" t="s">
        <v>150</v>
      </c>
      <c r="D112" s="174">
        <f>D103+D111</f>
        <v>3346.54</v>
      </c>
    </row>
    <row r="113" spans="1:4">
      <c r="A113" s="175" t="s">
        <v>151</v>
      </c>
      <c r="B113" s="175" t="s">
        <v>49</v>
      </c>
      <c r="C113" s="175" t="s">
        <v>152</v>
      </c>
      <c r="D113" s="176">
        <v>3300</v>
      </c>
    </row>
    <row r="114" spans="1:4">
      <c r="A114" s="175" t="s">
        <v>51</v>
      </c>
      <c r="B114" s="175" t="s">
        <v>55</v>
      </c>
      <c r="C114" s="175" t="s">
        <v>59</v>
      </c>
      <c r="D114" s="177">
        <v>-153</v>
      </c>
    </row>
    <row r="115" spans="1:4">
      <c r="A115" s="175" t="s">
        <v>51</v>
      </c>
      <c r="B115" s="175" t="s">
        <v>51</v>
      </c>
      <c r="C115" s="175" t="s">
        <v>57</v>
      </c>
      <c r="D115" s="177">
        <v>-255</v>
      </c>
    </row>
    <row r="116" spans="1:4">
      <c r="A116" s="175" t="s">
        <v>51</v>
      </c>
      <c r="B116" s="175" t="s">
        <v>51</v>
      </c>
      <c r="C116" s="175" t="s">
        <v>61</v>
      </c>
      <c r="D116" s="177">
        <v>-382.5</v>
      </c>
    </row>
    <row r="117" spans="1:4">
      <c r="A117" s="175"/>
      <c r="B117" s="175"/>
      <c r="C117" s="178" t="s">
        <v>67</v>
      </c>
      <c r="D117" s="179">
        <f>SUM(D114:D116)</f>
        <v>-790.5</v>
      </c>
    </row>
    <row r="118" spans="1:4">
      <c r="A118" s="175"/>
      <c r="B118" s="175"/>
      <c r="C118" s="180" t="s">
        <v>153</v>
      </c>
      <c r="D118" s="181">
        <f>D113+D117</f>
        <v>2509.5</v>
      </c>
    </row>
    <row r="119" spans="1:4">
      <c r="A119" s="215" t="s">
        <v>154</v>
      </c>
      <c r="B119" s="216" t="s">
        <v>49</v>
      </c>
      <c r="C119" s="216" t="s">
        <v>71</v>
      </c>
      <c r="D119" s="217">
        <f>20142.2916-17000</f>
        <v>3142.2916000000005</v>
      </c>
    </row>
    <row r="120" spans="1:4">
      <c r="A120" s="216" t="s">
        <v>51</v>
      </c>
      <c r="B120" s="216" t="s">
        <v>83</v>
      </c>
      <c r="C120" s="216" t="s">
        <v>84</v>
      </c>
      <c r="D120" s="217">
        <v>8.6399999999999988</v>
      </c>
    </row>
    <row r="121" spans="1:4">
      <c r="A121" s="216" t="s">
        <v>51</v>
      </c>
      <c r="B121" s="216" t="s">
        <v>102</v>
      </c>
      <c r="C121" s="216" t="s">
        <v>155</v>
      </c>
      <c r="D121" s="218">
        <v>-412.8</v>
      </c>
    </row>
    <row r="122" spans="1:4">
      <c r="A122" s="216" t="s">
        <v>51</v>
      </c>
      <c r="B122" s="216" t="s">
        <v>156</v>
      </c>
      <c r="C122" s="216" t="s">
        <v>157</v>
      </c>
      <c r="D122" s="218">
        <v>-950</v>
      </c>
    </row>
    <row r="123" spans="1:4">
      <c r="A123" s="216" t="s">
        <v>51</v>
      </c>
      <c r="B123" s="216" t="s">
        <v>106</v>
      </c>
      <c r="C123" s="216" t="s">
        <v>158</v>
      </c>
      <c r="D123" s="218">
        <v>-152.84</v>
      </c>
    </row>
    <row r="124" spans="1:4">
      <c r="A124" s="216" t="s">
        <v>51</v>
      </c>
      <c r="B124" s="216" t="s">
        <v>51</v>
      </c>
      <c r="C124" s="216" t="s">
        <v>96</v>
      </c>
      <c r="D124" s="218">
        <v>-279.89999999999998</v>
      </c>
    </row>
    <row r="125" spans="1:4">
      <c r="A125" s="216" t="s">
        <v>51</v>
      </c>
      <c r="B125" s="216" t="s">
        <v>51</v>
      </c>
      <c r="C125" s="216" t="s">
        <v>95</v>
      </c>
      <c r="D125" s="218">
        <v>-590.21</v>
      </c>
    </row>
    <row r="126" spans="1:4">
      <c r="A126" s="216" t="s">
        <v>51</v>
      </c>
      <c r="B126" s="216" t="s">
        <v>51</v>
      </c>
      <c r="C126" s="216" t="s">
        <v>159</v>
      </c>
      <c r="D126" s="218">
        <v>-1235</v>
      </c>
    </row>
    <row r="127" spans="1:4" ht="30">
      <c r="A127" s="216" t="s">
        <v>51</v>
      </c>
      <c r="B127" s="216" t="s">
        <v>160</v>
      </c>
      <c r="C127" s="216" t="s">
        <v>161</v>
      </c>
      <c r="D127" s="218">
        <v>-2352.16</v>
      </c>
    </row>
    <row r="128" spans="1:4">
      <c r="A128" s="216" t="s">
        <v>51</v>
      </c>
      <c r="B128" s="216" t="s">
        <v>121</v>
      </c>
      <c r="C128" s="216" t="s">
        <v>162</v>
      </c>
      <c r="D128" s="218">
        <v>-2544.85</v>
      </c>
    </row>
    <row r="129" spans="1:4">
      <c r="A129" s="216" t="s">
        <v>51</v>
      </c>
      <c r="B129" s="216" t="s">
        <v>143</v>
      </c>
      <c r="C129" s="216" t="s">
        <v>62</v>
      </c>
      <c r="D129" s="218">
        <v>-4000</v>
      </c>
    </row>
    <row r="130" spans="1:4">
      <c r="A130" s="216" t="s">
        <v>51</v>
      </c>
      <c r="B130" s="216" t="s">
        <v>51</v>
      </c>
      <c r="C130" s="216" t="s">
        <v>63</v>
      </c>
      <c r="D130" s="218">
        <v>-4000</v>
      </c>
    </row>
    <row r="131" spans="1:4">
      <c r="A131" s="216"/>
      <c r="B131" s="216"/>
      <c r="C131" s="219" t="s">
        <v>67</v>
      </c>
      <c r="D131" s="220">
        <f>SUM(D121:D130)</f>
        <v>-16517.760000000002</v>
      </c>
    </row>
    <row r="132" spans="1:4">
      <c r="A132" s="216"/>
      <c r="B132" s="216"/>
      <c r="C132" s="219" t="s">
        <v>163</v>
      </c>
      <c r="D132" s="220">
        <f>SUM(D119:D120,D131)</f>
        <v>-13366.828400000002</v>
      </c>
    </row>
    <row r="133" spans="1:4">
      <c r="A133" s="388" t="s">
        <v>164</v>
      </c>
      <c r="B133" s="388" t="s">
        <v>51</v>
      </c>
      <c r="C133" s="388" t="s">
        <v>51</v>
      </c>
      <c r="D133" s="389">
        <f>D132+D118+D112+D102+D92+D28+D16</f>
        <v>35479.979999999996</v>
      </c>
    </row>
  </sheetData>
  <autoFilter ref="A1:D133" xr:uid="{63AA5202-295A-4917-A090-E7411F1B43E1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AEA10-5D2F-4FD6-9F14-91E3177E5E12}">
  <sheetPr>
    <tabColor rgb="FF00B050"/>
  </sheetPr>
  <dimension ref="A1:E128"/>
  <sheetViews>
    <sheetView topLeftCell="A96" zoomScale="120" zoomScaleNormal="120" workbookViewId="0">
      <selection activeCell="C131" sqref="C131"/>
    </sheetView>
  </sheetViews>
  <sheetFormatPr baseColWidth="10" defaultColWidth="37.5" defaultRowHeight="15"/>
  <sheetData>
    <row r="1" spans="1:4">
      <c r="A1" s="221" t="s">
        <v>44</v>
      </c>
      <c r="B1" s="221" t="s">
        <v>45</v>
      </c>
      <c r="C1" s="221" t="s">
        <v>46</v>
      </c>
      <c r="D1" s="222" t="s">
        <v>47</v>
      </c>
    </row>
    <row r="2" spans="1:4">
      <c r="A2" s="223" t="s">
        <v>81</v>
      </c>
      <c r="B2" s="223" t="s">
        <v>49</v>
      </c>
      <c r="C2" s="223" t="s">
        <v>71</v>
      </c>
      <c r="D2" s="224">
        <v>102609.6403</v>
      </c>
    </row>
    <row r="3" spans="1:4">
      <c r="A3" s="223" t="s">
        <v>51</v>
      </c>
      <c r="B3" s="223" t="s">
        <v>83</v>
      </c>
      <c r="C3" s="223" t="s">
        <v>84</v>
      </c>
      <c r="D3" s="224">
        <v>13.53</v>
      </c>
    </row>
    <row r="4" spans="1:4">
      <c r="A4" s="223" t="s">
        <v>51</v>
      </c>
      <c r="B4" s="223" t="s">
        <v>198</v>
      </c>
      <c r="C4" s="223" t="s">
        <v>127</v>
      </c>
      <c r="D4" s="225">
        <v>-29.99</v>
      </c>
    </row>
    <row r="5" spans="1:4">
      <c r="A5" s="223" t="s">
        <v>51</v>
      </c>
      <c r="B5" s="223" t="s">
        <v>85</v>
      </c>
      <c r="C5" s="223" t="s">
        <v>86</v>
      </c>
      <c r="D5" s="225">
        <v>-63.91</v>
      </c>
    </row>
    <row r="6" spans="1:4">
      <c r="A6" s="223" t="s">
        <v>51</v>
      </c>
      <c r="B6" s="223" t="s">
        <v>65</v>
      </c>
      <c r="C6" s="223" t="s">
        <v>199</v>
      </c>
      <c r="D6" s="225">
        <v>-70.06</v>
      </c>
    </row>
    <row r="7" spans="1:4">
      <c r="A7" s="223" t="s">
        <v>51</v>
      </c>
      <c r="B7" s="223" t="s">
        <v>51</v>
      </c>
      <c r="C7" s="223" t="s">
        <v>96</v>
      </c>
      <c r="D7" s="225">
        <v>-82.12</v>
      </c>
    </row>
    <row r="8" spans="1:4">
      <c r="A8" s="223" t="s">
        <v>51</v>
      </c>
      <c r="B8" s="223" t="s">
        <v>87</v>
      </c>
      <c r="C8" s="223" t="s">
        <v>88</v>
      </c>
      <c r="D8" s="225">
        <v>-40</v>
      </c>
    </row>
    <row r="9" spans="1:4">
      <c r="A9" s="223" t="s">
        <v>51</v>
      </c>
      <c r="B9" s="223" t="s">
        <v>51</v>
      </c>
      <c r="C9" s="223" t="s">
        <v>89</v>
      </c>
      <c r="D9" s="225">
        <v>-140</v>
      </c>
    </row>
    <row r="10" spans="1:4" ht="30">
      <c r="A10" s="223" t="s">
        <v>51</v>
      </c>
      <c r="B10" s="223" t="s">
        <v>160</v>
      </c>
      <c r="C10" s="223" t="s">
        <v>200</v>
      </c>
      <c r="D10" s="225">
        <v>-183</v>
      </c>
    </row>
    <row r="11" spans="1:4">
      <c r="A11" s="223" t="s">
        <v>51</v>
      </c>
      <c r="B11" s="223" t="s">
        <v>90</v>
      </c>
      <c r="C11" s="223" t="s">
        <v>91</v>
      </c>
      <c r="D11" s="225">
        <v>-187.28</v>
      </c>
    </row>
    <row r="12" spans="1:4">
      <c r="A12" s="223" t="s">
        <v>51</v>
      </c>
      <c r="B12" s="223" t="s">
        <v>92</v>
      </c>
      <c r="C12" s="223" t="s">
        <v>91</v>
      </c>
      <c r="D12" s="225">
        <v>-190.4</v>
      </c>
    </row>
    <row r="13" spans="1:4">
      <c r="A13" s="223" t="s">
        <v>51</v>
      </c>
      <c r="B13" s="223" t="s">
        <v>104</v>
      </c>
      <c r="C13" s="223" t="s">
        <v>105</v>
      </c>
      <c r="D13" s="225">
        <v>-407.41</v>
      </c>
    </row>
    <row r="14" spans="1:4">
      <c r="A14" s="223" t="s">
        <v>51</v>
      </c>
      <c r="B14" s="223" t="s">
        <v>119</v>
      </c>
      <c r="C14" s="223" t="s">
        <v>120</v>
      </c>
      <c r="D14" s="225">
        <v>-415.43</v>
      </c>
    </row>
    <row r="15" spans="1:4">
      <c r="A15" s="223" t="s">
        <v>51</v>
      </c>
      <c r="B15" s="223" t="s">
        <v>98</v>
      </c>
      <c r="C15" s="223" t="s">
        <v>100</v>
      </c>
      <c r="D15" s="225">
        <v>-75.03</v>
      </c>
    </row>
    <row r="16" spans="1:4">
      <c r="A16" s="223" t="s">
        <v>51</v>
      </c>
      <c r="B16" s="223" t="s">
        <v>51</v>
      </c>
      <c r="C16" s="223" t="s">
        <v>99</v>
      </c>
      <c r="D16" s="225">
        <v>-383.13</v>
      </c>
    </row>
    <row r="17" spans="1:4">
      <c r="A17" s="223" t="s">
        <v>51</v>
      </c>
      <c r="B17" s="223" t="s">
        <v>73</v>
      </c>
      <c r="C17" s="223" t="s">
        <v>71</v>
      </c>
      <c r="D17" s="226">
        <v>0</v>
      </c>
    </row>
    <row r="18" spans="1:4">
      <c r="A18" s="223" t="s">
        <v>51</v>
      </c>
      <c r="B18" s="223" t="s">
        <v>51</v>
      </c>
      <c r="C18" s="223" t="s">
        <v>124</v>
      </c>
      <c r="D18" s="225">
        <v>-486</v>
      </c>
    </row>
    <row r="19" spans="1:4">
      <c r="A19" s="223" t="s">
        <v>51</v>
      </c>
      <c r="B19" s="223" t="s">
        <v>94</v>
      </c>
      <c r="C19" s="223" t="s">
        <v>95</v>
      </c>
      <c r="D19" s="225">
        <v>-509.6</v>
      </c>
    </row>
    <row r="20" spans="1:4">
      <c r="A20" s="223" t="s">
        <v>51</v>
      </c>
      <c r="B20" s="223" t="s">
        <v>74</v>
      </c>
      <c r="C20" s="223" t="s">
        <v>108</v>
      </c>
      <c r="D20" s="225">
        <v>-196.19</v>
      </c>
    </row>
    <row r="21" spans="1:4">
      <c r="A21" s="223" t="s">
        <v>51</v>
      </c>
      <c r="B21" s="223" t="s">
        <v>51</v>
      </c>
      <c r="C21" s="223" t="s">
        <v>64</v>
      </c>
      <c r="D21" s="225">
        <v>-461.62</v>
      </c>
    </row>
    <row r="22" spans="1:4">
      <c r="A22" s="223" t="s">
        <v>51</v>
      </c>
      <c r="B22" s="223" t="s">
        <v>106</v>
      </c>
      <c r="C22" s="223" t="s">
        <v>172</v>
      </c>
      <c r="D22" s="225">
        <v>-35</v>
      </c>
    </row>
    <row r="23" spans="1:4">
      <c r="A23" s="223" t="s">
        <v>51</v>
      </c>
      <c r="B23" s="223" t="s">
        <v>51</v>
      </c>
      <c r="C23" s="223" t="s">
        <v>96</v>
      </c>
      <c r="D23" s="225">
        <v>-131.64999999999998</v>
      </c>
    </row>
    <row r="24" spans="1:4">
      <c r="A24" s="223" t="s">
        <v>51</v>
      </c>
      <c r="B24" s="223" t="s">
        <v>51</v>
      </c>
      <c r="C24" s="223" t="s">
        <v>95</v>
      </c>
      <c r="D24" s="225">
        <v>-135.47999999999999</v>
      </c>
    </row>
    <row r="25" spans="1:4">
      <c r="A25" s="223" t="s">
        <v>51</v>
      </c>
      <c r="B25" s="223" t="s">
        <v>51</v>
      </c>
      <c r="C25" s="223" t="s">
        <v>107</v>
      </c>
      <c r="D25" s="225">
        <v>-399.89</v>
      </c>
    </row>
    <row r="26" spans="1:4" ht="30">
      <c r="A26" s="223" t="s">
        <v>51</v>
      </c>
      <c r="B26" s="223" t="s">
        <v>110</v>
      </c>
      <c r="C26" s="223" t="s">
        <v>111</v>
      </c>
      <c r="D26" s="225">
        <v>-84</v>
      </c>
    </row>
    <row r="27" spans="1:4">
      <c r="A27" s="223" t="s">
        <v>51</v>
      </c>
      <c r="B27" s="223" t="s">
        <v>51</v>
      </c>
      <c r="C27" s="223" t="s">
        <v>112</v>
      </c>
      <c r="D27" s="225">
        <v>-700</v>
      </c>
    </row>
    <row r="28" spans="1:4">
      <c r="A28" s="223" t="s">
        <v>51</v>
      </c>
      <c r="B28" s="223" t="s">
        <v>113</v>
      </c>
      <c r="C28" s="223" t="s">
        <v>114</v>
      </c>
      <c r="D28" s="225">
        <v>-800</v>
      </c>
    </row>
    <row r="29" spans="1:4">
      <c r="A29" s="223" t="s">
        <v>51</v>
      </c>
      <c r="B29" s="223" t="s">
        <v>115</v>
      </c>
      <c r="C29" s="223" t="s">
        <v>201</v>
      </c>
      <c r="D29" s="225">
        <v>-44.9</v>
      </c>
    </row>
    <row r="30" spans="1:4">
      <c r="A30" s="223" t="s">
        <v>51</v>
      </c>
      <c r="B30" s="223" t="s">
        <v>51</v>
      </c>
      <c r="C30" s="223" t="s">
        <v>116</v>
      </c>
      <c r="D30" s="225">
        <v>-866.8</v>
      </c>
    </row>
    <row r="31" spans="1:4">
      <c r="A31" s="223" t="s">
        <v>51</v>
      </c>
      <c r="B31" s="223" t="s">
        <v>117</v>
      </c>
      <c r="C31" s="223" t="s">
        <v>118</v>
      </c>
      <c r="D31" s="225">
        <v>-1000</v>
      </c>
    </row>
    <row r="32" spans="1:4">
      <c r="A32" s="223" t="s">
        <v>51</v>
      </c>
      <c r="B32" s="223" t="s">
        <v>202</v>
      </c>
      <c r="C32" s="223" t="s">
        <v>203</v>
      </c>
      <c r="D32" s="225">
        <v>-166.67</v>
      </c>
    </row>
    <row r="33" spans="1:4">
      <c r="A33" s="223" t="s">
        <v>51</v>
      </c>
      <c r="B33" s="223" t="s">
        <v>51</v>
      </c>
      <c r="C33" s="223" t="s">
        <v>56</v>
      </c>
      <c r="D33" s="225">
        <v>-1174.76</v>
      </c>
    </row>
    <row r="34" spans="1:4">
      <c r="A34" s="223" t="s">
        <v>51</v>
      </c>
      <c r="B34" s="223" t="s">
        <v>121</v>
      </c>
      <c r="C34" s="223" t="s">
        <v>122</v>
      </c>
      <c r="D34" s="225">
        <v>-2019.95</v>
      </c>
    </row>
    <row r="35" spans="1:4">
      <c r="A35" s="223" t="s">
        <v>51</v>
      </c>
      <c r="B35" s="223" t="s">
        <v>123</v>
      </c>
      <c r="C35" s="223" t="s">
        <v>124</v>
      </c>
      <c r="D35" s="225">
        <v>-2700</v>
      </c>
    </row>
    <row r="36" spans="1:4">
      <c r="A36" s="223" t="s">
        <v>51</v>
      </c>
      <c r="B36" s="223" t="s">
        <v>126</v>
      </c>
      <c r="C36" s="223" t="s">
        <v>128</v>
      </c>
      <c r="D36" s="225">
        <v>-24.16</v>
      </c>
    </row>
    <row r="37" spans="1:4">
      <c r="A37" s="223" t="s">
        <v>51</v>
      </c>
      <c r="B37" s="223" t="s">
        <v>51</v>
      </c>
      <c r="C37" s="223" t="s">
        <v>129</v>
      </c>
      <c r="D37" s="225">
        <v>-38</v>
      </c>
    </row>
    <row r="38" spans="1:4">
      <c r="A38" s="223" t="s">
        <v>51</v>
      </c>
      <c r="B38" s="223" t="s">
        <v>51</v>
      </c>
      <c r="C38" s="223" t="s">
        <v>130</v>
      </c>
      <c r="D38" s="225">
        <v>-50</v>
      </c>
    </row>
    <row r="39" spans="1:4">
      <c r="A39" s="223" t="s">
        <v>51</v>
      </c>
      <c r="B39" s="223" t="s">
        <v>51</v>
      </c>
      <c r="C39" s="223" t="s">
        <v>131</v>
      </c>
      <c r="D39" s="225">
        <v>-99.9</v>
      </c>
    </row>
    <row r="40" spans="1:4">
      <c r="A40" s="223" t="s">
        <v>51</v>
      </c>
      <c r="B40" s="223" t="s">
        <v>51</v>
      </c>
      <c r="C40" s="223" t="s">
        <v>132</v>
      </c>
      <c r="D40" s="225">
        <v>-247.92</v>
      </c>
    </row>
    <row r="41" spans="1:4">
      <c r="A41" s="223" t="s">
        <v>51</v>
      </c>
      <c r="B41" s="223" t="s">
        <v>51</v>
      </c>
      <c r="C41" s="223" t="s">
        <v>133</v>
      </c>
      <c r="D41" s="225">
        <v>-285.24</v>
      </c>
    </row>
    <row r="42" spans="1:4">
      <c r="A42" s="223" t="s">
        <v>51</v>
      </c>
      <c r="B42" s="223" t="s">
        <v>51</v>
      </c>
      <c r="C42" s="223" t="s">
        <v>134</v>
      </c>
      <c r="D42" s="225">
        <v>-1205.22</v>
      </c>
    </row>
    <row r="43" spans="1:4">
      <c r="A43" s="223" t="s">
        <v>51</v>
      </c>
      <c r="B43" s="223" t="s">
        <v>51</v>
      </c>
      <c r="C43" s="223" t="s">
        <v>135</v>
      </c>
      <c r="D43" s="225">
        <v>-1465</v>
      </c>
    </row>
    <row r="44" spans="1:4">
      <c r="A44" s="223" t="s">
        <v>51</v>
      </c>
      <c r="B44" s="223" t="s">
        <v>125</v>
      </c>
      <c r="C44" s="223" t="s">
        <v>91</v>
      </c>
      <c r="D44" s="225">
        <v>-4107.6000000000004</v>
      </c>
    </row>
    <row r="45" spans="1:4">
      <c r="A45" s="223" t="s">
        <v>51</v>
      </c>
      <c r="B45" s="223" t="s">
        <v>136</v>
      </c>
      <c r="C45" s="223" t="s">
        <v>204</v>
      </c>
      <c r="D45" s="225">
        <v>-1</v>
      </c>
    </row>
    <row r="46" spans="1:4">
      <c r="A46" s="223" t="s">
        <v>51</v>
      </c>
      <c r="B46" s="223" t="s">
        <v>51</v>
      </c>
      <c r="C46" s="223" t="s">
        <v>137</v>
      </c>
      <c r="D46" s="225">
        <v>-43.97</v>
      </c>
    </row>
    <row r="47" spans="1:4">
      <c r="A47" s="223" t="s">
        <v>51</v>
      </c>
      <c r="B47" s="223" t="s">
        <v>51</v>
      </c>
      <c r="C47" s="223" t="s">
        <v>58</v>
      </c>
      <c r="D47" s="225">
        <v>-230.56</v>
      </c>
    </row>
    <row r="48" spans="1:4">
      <c r="A48" s="223" t="s">
        <v>51</v>
      </c>
      <c r="B48" s="223" t="s">
        <v>51</v>
      </c>
      <c r="C48" s="223" t="s">
        <v>138</v>
      </c>
      <c r="D48" s="225">
        <v>-4556.34</v>
      </c>
    </row>
    <row r="49" spans="1:4">
      <c r="A49" s="223" t="s">
        <v>51</v>
      </c>
      <c r="B49" s="223" t="s">
        <v>139</v>
      </c>
      <c r="C49" s="223" t="s">
        <v>140</v>
      </c>
      <c r="D49" s="225">
        <v>-5115.43</v>
      </c>
    </row>
    <row r="50" spans="1:4">
      <c r="A50" s="223" t="s">
        <v>51</v>
      </c>
      <c r="B50" s="223" t="s">
        <v>79</v>
      </c>
      <c r="C50" s="223" t="s">
        <v>61</v>
      </c>
      <c r="D50" s="225">
        <v>-2000</v>
      </c>
    </row>
    <row r="51" spans="1:4">
      <c r="A51" s="223" t="s">
        <v>51</v>
      </c>
      <c r="B51" s="223" t="s">
        <v>51</v>
      </c>
      <c r="C51" s="223" t="s">
        <v>56</v>
      </c>
      <c r="D51" s="225">
        <v>-2153.08</v>
      </c>
    </row>
    <row r="52" spans="1:4">
      <c r="A52" s="223" t="s">
        <v>51</v>
      </c>
      <c r="B52" s="223" t="s">
        <v>51</v>
      </c>
      <c r="C52" s="223" t="s">
        <v>203</v>
      </c>
      <c r="D52" s="225">
        <v>-2274</v>
      </c>
    </row>
    <row r="53" spans="1:4">
      <c r="A53" s="223" t="s">
        <v>51</v>
      </c>
      <c r="B53" s="223" t="s">
        <v>51</v>
      </c>
      <c r="C53" s="223" t="s">
        <v>103</v>
      </c>
      <c r="D53" s="225">
        <v>-3500</v>
      </c>
    </row>
    <row r="54" spans="1:4">
      <c r="A54" s="223" t="s">
        <v>51</v>
      </c>
      <c r="B54" s="223" t="s">
        <v>143</v>
      </c>
      <c r="C54" s="223" t="s">
        <v>64</v>
      </c>
      <c r="D54" s="225">
        <v>-5000</v>
      </c>
    </row>
    <row r="55" spans="1:4">
      <c r="A55" s="223" t="s">
        <v>51</v>
      </c>
      <c r="B55" s="223" t="s">
        <v>51</v>
      </c>
      <c r="C55" s="223" t="s">
        <v>57</v>
      </c>
      <c r="D55" s="225">
        <v>-5000</v>
      </c>
    </row>
    <row r="56" spans="1:4">
      <c r="A56" s="223" t="s">
        <v>51</v>
      </c>
      <c r="B56" s="223" t="s">
        <v>51</v>
      </c>
      <c r="C56" s="223" t="s">
        <v>59</v>
      </c>
      <c r="D56" s="225">
        <v>-5000</v>
      </c>
    </row>
    <row r="57" spans="1:4">
      <c r="A57" s="223" t="s">
        <v>51</v>
      </c>
      <c r="B57" s="223" t="s">
        <v>55</v>
      </c>
      <c r="C57" s="223" t="s">
        <v>56</v>
      </c>
      <c r="D57" s="225">
        <v>-300</v>
      </c>
    </row>
    <row r="58" spans="1:4">
      <c r="A58" s="223" t="s">
        <v>51</v>
      </c>
      <c r="B58" s="223" t="s">
        <v>51</v>
      </c>
      <c r="C58" s="223" t="s">
        <v>109</v>
      </c>
      <c r="D58" s="225">
        <v>-676.19</v>
      </c>
    </row>
    <row r="59" spans="1:4">
      <c r="A59" s="223" t="s">
        <v>51</v>
      </c>
      <c r="B59" s="223" t="s">
        <v>51</v>
      </c>
      <c r="C59" s="223" t="s">
        <v>58</v>
      </c>
      <c r="D59" s="225">
        <v>-4482.8599999999997</v>
      </c>
    </row>
    <row r="60" spans="1:4">
      <c r="A60" s="223" t="s">
        <v>51</v>
      </c>
      <c r="B60" s="223" t="s">
        <v>51</v>
      </c>
      <c r="C60" s="223" t="s">
        <v>60</v>
      </c>
      <c r="D60" s="225">
        <v>-5413.76</v>
      </c>
    </row>
    <row r="61" spans="1:4">
      <c r="A61" s="223" t="s">
        <v>51</v>
      </c>
      <c r="B61" s="223" t="s">
        <v>51</v>
      </c>
      <c r="C61" s="223" t="s">
        <v>61</v>
      </c>
      <c r="D61" s="225">
        <v>-6103.26</v>
      </c>
    </row>
    <row r="62" spans="1:4">
      <c r="A62" s="223"/>
      <c r="B62" s="223"/>
      <c r="C62" s="223" t="s">
        <v>205</v>
      </c>
      <c r="D62" s="227">
        <f>SUM(D4:D61)</f>
        <v>-73553.759999999995</v>
      </c>
    </row>
    <row r="63" spans="1:4">
      <c r="A63" s="223"/>
      <c r="B63" s="223"/>
      <c r="C63" s="228" t="s">
        <v>206</v>
      </c>
      <c r="D63" s="229">
        <f>D2+D3+D62</f>
        <v>29069.410300000003</v>
      </c>
    </row>
    <row r="64" spans="1:4">
      <c r="A64" s="230" t="s">
        <v>34</v>
      </c>
      <c r="B64" s="230" t="s">
        <v>49</v>
      </c>
      <c r="C64" s="230" t="s">
        <v>69</v>
      </c>
      <c r="D64" s="231">
        <v>17029.440000000002</v>
      </c>
    </row>
    <row r="65" spans="1:4">
      <c r="A65" s="230" t="s">
        <v>51</v>
      </c>
      <c r="B65" s="230" t="s">
        <v>51</v>
      </c>
      <c r="C65" s="230" t="s">
        <v>207</v>
      </c>
      <c r="D65" s="231">
        <v>7537.5</v>
      </c>
    </row>
    <row r="66" spans="1:4" ht="30">
      <c r="A66" s="230" t="s">
        <v>51</v>
      </c>
      <c r="B66" s="230" t="s">
        <v>51</v>
      </c>
      <c r="C66" s="230" t="s">
        <v>208</v>
      </c>
      <c r="D66" s="231">
        <v>1365.59</v>
      </c>
    </row>
    <row r="67" spans="1:4">
      <c r="A67" s="230" t="s">
        <v>51</v>
      </c>
      <c r="B67" s="230" t="s">
        <v>76</v>
      </c>
      <c r="C67" s="230" t="s">
        <v>77</v>
      </c>
      <c r="D67" s="232">
        <v>-109.80000000000001</v>
      </c>
    </row>
    <row r="68" spans="1:4">
      <c r="A68" s="230" t="s">
        <v>51</v>
      </c>
      <c r="B68" s="230" t="s">
        <v>202</v>
      </c>
      <c r="C68" s="230" t="s">
        <v>78</v>
      </c>
      <c r="D68" s="232">
        <v>-333.33</v>
      </c>
    </row>
    <row r="69" spans="1:4">
      <c r="A69" s="230" t="s">
        <v>51</v>
      </c>
      <c r="B69" s="230" t="s">
        <v>79</v>
      </c>
      <c r="C69" s="230" t="s">
        <v>78</v>
      </c>
      <c r="D69" s="232">
        <v>-2000</v>
      </c>
    </row>
    <row r="70" spans="1:4">
      <c r="A70" s="230" t="s">
        <v>51</v>
      </c>
      <c r="B70" s="230" t="s">
        <v>209</v>
      </c>
      <c r="C70" s="230" t="s">
        <v>210</v>
      </c>
      <c r="D70" s="232">
        <v>-2482.92</v>
      </c>
    </row>
    <row r="71" spans="1:4">
      <c r="A71" s="230" t="s">
        <v>51</v>
      </c>
      <c r="B71" s="230" t="s">
        <v>55</v>
      </c>
      <c r="C71" s="230" t="s">
        <v>64</v>
      </c>
      <c r="D71" s="232">
        <v>-582.25</v>
      </c>
    </row>
    <row r="72" spans="1:4">
      <c r="A72" s="230" t="s">
        <v>51</v>
      </c>
      <c r="B72" s="230" t="s">
        <v>51</v>
      </c>
      <c r="C72" s="230" t="s">
        <v>60</v>
      </c>
      <c r="D72" s="232">
        <v>-771.63</v>
      </c>
    </row>
    <row r="73" spans="1:4">
      <c r="A73" s="230" t="s">
        <v>51</v>
      </c>
      <c r="B73" s="230" t="s">
        <v>51</v>
      </c>
      <c r="C73" s="230" t="s">
        <v>59</v>
      </c>
      <c r="D73" s="232">
        <v>-1542.74</v>
      </c>
    </row>
    <row r="74" spans="1:4">
      <c r="A74" s="230" t="s">
        <v>51</v>
      </c>
      <c r="B74" s="230" t="s">
        <v>51</v>
      </c>
      <c r="C74" s="230" t="s">
        <v>57</v>
      </c>
      <c r="D74" s="232">
        <v>-2941.76</v>
      </c>
    </row>
    <row r="75" spans="1:4">
      <c r="A75" s="230" t="s">
        <v>51</v>
      </c>
      <c r="B75" s="230" t="s">
        <v>51</v>
      </c>
      <c r="C75" s="230" t="s">
        <v>78</v>
      </c>
      <c r="D75" s="232">
        <v>-3514.75</v>
      </c>
    </row>
    <row r="76" spans="1:4">
      <c r="A76" s="230"/>
      <c r="B76" s="230"/>
      <c r="C76" s="230" t="s">
        <v>205</v>
      </c>
      <c r="D76" s="233">
        <f>SUM(D67:D75)</f>
        <v>-14279.18</v>
      </c>
    </row>
    <row r="77" spans="1:4">
      <c r="A77" s="230"/>
      <c r="B77" s="230"/>
      <c r="C77" s="234" t="s">
        <v>206</v>
      </c>
      <c r="D77" s="235">
        <f>D64+D65+D66+D76</f>
        <v>11653.350000000002</v>
      </c>
    </row>
    <row r="78" spans="1:4">
      <c r="A78" s="236" t="s">
        <v>48</v>
      </c>
      <c r="B78" s="236" t="s">
        <v>49</v>
      </c>
      <c r="C78" s="236" t="s">
        <v>50</v>
      </c>
      <c r="D78" s="237">
        <v>12588</v>
      </c>
    </row>
    <row r="79" spans="1:4">
      <c r="A79" s="236" t="s">
        <v>51</v>
      </c>
      <c r="B79" s="236" t="s">
        <v>52</v>
      </c>
      <c r="C79" s="236" t="s">
        <v>53</v>
      </c>
      <c r="D79" s="238">
        <v>-516.54</v>
      </c>
    </row>
    <row r="80" spans="1:4">
      <c r="A80" s="236" t="s">
        <v>51</v>
      </c>
      <c r="B80" s="236" t="s">
        <v>55</v>
      </c>
      <c r="C80" s="236" t="s">
        <v>63</v>
      </c>
      <c r="D80" s="238">
        <v>-287.39</v>
      </c>
    </row>
    <row r="81" spans="1:4">
      <c r="A81" s="236" t="s">
        <v>51</v>
      </c>
      <c r="B81" s="236" t="s">
        <v>51</v>
      </c>
      <c r="C81" s="236" t="s">
        <v>56</v>
      </c>
      <c r="D81" s="238">
        <v>-299</v>
      </c>
    </row>
    <row r="82" spans="1:4">
      <c r="A82" s="236" t="s">
        <v>51</v>
      </c>
      <c r="B82" s="236" t="s">
        <v>51</v>
      </c>
      <c r="C82" s="236" t="s">
        <v>59</v>
      </c>
      <c r="D82" s="238">
        <v>-661</v>
      </c>
    </row>
    <row r="83" spans="1:4">
      <c r="A83" s="236" t="s">
        <v>51</v>
      </c>
      <c r="B83" s="236" t="s">
        <v>65</v>
      </c>
      <c r="C83" s="236" t="s">
        <v>66</v>
      </c>
      <c r="D83" s="238">
        <v>-2921.7</v>
      </c>
    </row>
    <row r="84" spans="1:4">
      <c r="A84" s="236"/>
      <c r="B84" s="236"/>
      <c r="C84" s="236" t="s">
        <v>205</v>
      </c>
      <c r="D84" s="239">
        <f>SUM(D79:D83)</f>
        <v>-4685.6299999999992</v>
      </c>
    </row>
    <row r="85" spans="1:4">
      <c r="A85" s="236"/>
      <c r="B85" s="236"/>
      <c r="C85" s="240" t="s">
        <v>206</v>
      </c>
      <c r="D85" s="241">
        <f>D78+D84</f>
        <v>7902.3700000000008</v>
      </c>
    </row>
    <row r="86" spans="1:4">
      <c r="A86" s="242" t="s">
        <v>148</v>
      </c>
      <c r="B86" s="242" t="s">
        <v>49</v>
      </c>
      <c r="C86" s="242" t="s">
        <v>71</v>
      </c>
      <c r="D86" s="243">
        <v>4996.6099000000004</v>
      </c>
    </row>
    <row r="87" spans="1:4" ht="30">
      <c r="A87" s="242" t="s">
        <v>51</v>
      </c>
      <c r="B87" s="242" t="s">
        <v>51</v>
      </c>
      <c r="C87" s="242" t="s">
        <v>208</v>
      </c>
      <c r="D87" s="243">
        <v>380.1</v>
      </c>
    </row>
    <row r="88" spans="1:4">
      <c r="A88" s="242" t="s">
        <v>51</v>
      </c>
      <c r="B88" s="242" t="s">
        <v>87</v>
      </c>
      <c r="C88" s="242" t="s">
        <v>149</v>
      </c>
      <c r="D88" s="244">
        <v>-349.14</v>
      </c>
    </row>
    <row r="89" spans="1:4">
      <c r="A89" s="242" t="s">
        <v>51</v>
      </c>
      <c r="B89" s="242" t="s">
        <v>55</v>
      </c>
      <c r="C89" s="242" t="s">
        <v>109</v>
      </c>
      <c r="D89" s="244">
        <v>-29.77</v>
      </c>
    </row>
    <row r="90" spans="1:4">
      <c r="A90" s="242" t="s">
        <v>51</v>
      </c>
      <c r="B90" s="242" t="s">
        <v>51</v>
      </c>
      <c r="C90" s="242" t="s">
        <v>57</v>
      </c>
      <c r="D90" s="244">
        <v>-46</v>
      </c>
    </row>
    <row r="91" spans="1:4">
      <c r="A91" s="242" t="s">
        <v>51</v>
      </c>
      <c r="B91" s="242" t="s">
        <v>51</v>
      </c>
      <c r="C91" s="242" t="s">
        <v>60</v>
      </c>
      <c r="D91" s="244">
        <v>-49.02</v>
      </c>
    </row>
    <row r="92" spans="1:4">
      <c r="A92" s="242" t="s">
        <v>51</v>
      </c>
      <c r="B92" s="242" t="s">
        <v>51</v>
      </c>
      <c r="C92" s="242" t="s">
        <v>64</v>
      </c>
      <c r="D92" s="244">
        <v>-164.57</v>
      </c>
    </row>
    <row r="93" spans="1:4">
      <c r="A93" s="242" t="s">
        <v>51</v>
      </c>
      <c r="B93" s="242" t="s">
        <v>51</v>
      </c>
      <c r="C93" s="242" t="s">
        <v>58</v>
      </c>
      <c r="D93" s="244">
        <v>-201.6</v>
      </c>
    </row>
    <row r="94" spans="1:4">
      <c r="A94" s="242" t="s">
        <v>51</v>
      </c>
      <c r="B94" s="242" t="s">
        <v>51</v>
      </c>
      <c r="C94" s="242" t="s">
        <v>59</v>
      </c>
      <c r="D94" s="244">
        <v>-245.87</v>
      </c>
    </row>
    <row r="95" spans="1:4">
      <c r="A95" s="242" t="s">
        <v>51</v>
      </c>
      <c r="B95" s="242" t="s">
        <v>51</v>
      </c>
      <c r="C95" s="242" t="s">
        <v>61</v>
      </c>
      <c r="D95" s="244">
        <v>-485.88</v>
      </c>
    </row>
    <row r="96" spans="1:4">
      <c r="A96" s="242"/>
      <c r="B96" s="242"/>
      <c r="C96" s="242" t="s">
        <v>205</v>
      </c>
      <c r="D96" s="245">
        <f>SUM(D88:D95)</f>
        <v>-1571.85</v>
      </c>
    </row>
    <row r="97" spans="1:4">
      <c r="A97" s="242"/>
      <c r="B97" s="242"/>
      <c r="C97" s="246" t="s">
        <v>206</v>
      </c>
      <c r="D97" s="247">
        <f>D86+D87+D96</f>
        <v>3804.8599000000008</v>
      </c>
    </row>
    <row r="98" spans="1:4">
      <c r="A98" s="248" t="s">
        <v>35</v>
      </c>
      <c r="B98" s="248" t="s">
        <v>49</v>
      </c>
      <c r="C98" s="248" t="s">
        <v>71</v>
      </c>
      <c r="D98" s="249">
        <v>3802.22</v>
      </c>
    </row>
    <row r="99" spans="1:4">
      <c r="A99" s="248" t="s">
        <v>51</v>
      </c>
      <c r="B99" s="248" t="s">
        <v>73</v>
      </c>
      <c r="C99" s="248" t="s">
        <v>71</v>
      </c>
      <c r="D99" s="250">
        <v>0</v>
      </c>
    </row>
    <row r="100" spans="1:4">
      <c r="A100" s="248" t="s">
        <v>51</v>
      </c>
      <c r="B100" s="248" t="s">
        <v>55</v>
      </c>
      <c r="C100" s="248" t="s">
        <v>109</v>
      </c>
      <c r="D100" s="251">
        <v>-50.86</v>
      </c>
    </row>
    <row r="101" spans="1:4">
      <c r="A101" s="248" t="s">
        <v>51</v>
      </c>
      <c r="B101" s="248" t="s">
        <v>51</v>
      </c>
      <c r="C101" s="248" t="s">
        <v>60</v>
      </c>
      <c r="D101" s="251">
        <v>-84.65</v>
      </c>
    </row>
    <row r="102" spans="1:4">
      <c r="A102" s="248" t="s">
        <v>51</v>
      </c>
      <c r="B102" s="248" t="s">
        <v>51</v>
      </c>
      <c r="C102" s="248" t="s">
        <v>58</v>
      </c>
      <c r="D102" s="251">
        <v>-236.15</v>
      </c>
    </row>
    <row r="103" spans="1:4">
      <c r="A103" s="248" t="s">
        <v>51</v>
      </c>
      <c r="B103" s="248" t="s">
        <v>51</v>
      </c>
      <c r="C103" s="248" t="s">
        <v>64</v>
      </c>
      <c r="D103" s="251">
        <v>-362.56</v>
      </c>
    </row>
    <row r="104" spans="1:4">
      <c r="A104" s="248" t="s">
        <v>51</v>
      </c>
      <c r="B104" s="248" t="s">
        <v>51</v>
      </c>
      <c r="C104" s="248" t="s">
        <v>61</v>
      </c>
      <c r="D104" s="251">
        <v>-486.31</v>
      </c>
    </row>
    <row r="105" spans="1:4">
      <c r="A105" s="248" t="s">
        <v>51</v>
      </c>
      <c r="B105" s="248" t="s">
        <v>51</v>
      </c>
      <c r="C105" s="248" t="s">
        <v>57</v>
      </c>
      <c r="D105" s="251">
        <v>-504.38</v>
      </c>
    </row>
    <row r="106" spans="1:4">
      <c r="A106" s="248" t="s">
        <v>51</v>
      </c>
      <c r="B106" s="248" t="s">
        <v>51</v>
      </c>
      <c r="C106" s="248" t="s">
        <v>59</v>
      </c>
      <c r="D106" s="251">
        <v>-963.29</v>
      </c>
    </row>
    <row r="107" spans="1:4">
      <c r="A107" s="248"/>
      <c r="B107" s="248"/>
      <c r="C107" s="248" t="s">
        <v>205</v>
      </c>
      <c r="D107" s="252">
        <f>SUM(D100:D106)</f>
        <v>-2688.2</v>
      </c>
    </row>
    <row r="108" spans="1:4">
      <c r="A108" s="248"/>
      <c r="B108" s="248"/>
      <c r="C108" s="253" t="s">
        <v>206</v>
      </c>
      <c r="D108" s="254">
        <f>D98+D107</f>
        <v>1114.02</v>
      </c>
    </row>
    <row r="109" spans="1:4">
      <c r="A109" s="236" t="s">
        <v>154</v>
      </c>
      <c r="B109" s="236" t="s">
        <v>49</v>
      </c>
      <c r="C109" s="236" t="s">
        <v>71</v>
      </c>
      <c r="D109" s="237">
        <v>5175.28</v>
      </c>
    </row>
    <row r="110" spans="1:4">
      <c r="A110" s="236" t="s">
        <v>51</v>
      </c>
      <c r="B110" s="236" t="s">
        <v>51</v>
      </c>
      <c r="C110" s="236" t="s">
        <v>207</v>
      </c>
      <c r="D110" s="237">
        <v>4462.5</v>
      </c>
    </row>
    <row r="111" spans="1:4">
      <c r="A111" s="236" t="s">
        <v>51</v>
      </c>
      <c r="B111" s="236" t="s">
        <v>83</v>
      </c>
      <c r="C111" s="236" t="s">
        <v>84</v>
      </c>
      <c r="D111" s="237">
        <v>4.3</v>
      </c>
    </row>
    <row r="112" spans="1:4">
      <c r="A112" s="236" t="s">
        <v>51</v>
      </c>
      <c r="B112" s="236" t="s">
        <v>126</v>
      </c>
      <c r="C112" s="236" t="s">
        <v>129</v>
      </c>
      <c r="D112" s="238">
        <v>-99.99</v>
      </c>
    </row>
    <row r="113" spans="1:5">
      <c r="A113" s="236" t="s">
        <v>51</v>
      </c>
      <c r="B113" s="236" t="s">
        <v>115</v>
      </c>
      <c r="C113" s="236" t="s">
        <v>180</v>
      </c>
      <c r="D113" s="238">
        <v>-180</v>
      </c>
    </row>
    <row r="114" spans="1:5">
      <c r="A114" s="236" t="s">
        <v>51</v>
      </c>
      <c r="B114" s="236" t="s">
        <v>156</v>
      </c>
      <c r="C114" s="236" t="s">
        <v>157</v>
      </c>
      <c r="D114" s="238">
        <v>-950</v>
      </c>
    </row>
    <row r="115" spans="1:5">
      <c r="A115" s="236" t="s">
        <v>51</v>
      </c>
      <c r="B115" s="236" t="s">
        <v>55</v>
      </c>
      <c r="C115" s="236" t="s">
        <v>63</v>
      </c>
      <c r="D115" s="238">
        <v>-514</v>
      </c>
    </row>
    <row r="116" spans="1:5">
      <c r="A116" s="236" t="s">
        <v>51</v>
      </c>
      <c r="B116" s="236" t="s">
        <v>51</v>
      </c>
      <c r="C116" s="236" t="s">
        <v>62</v>
      </c>
      <c r="D116" s="238">
        <v>-917.75</v>
      </c>
    </row>
    <row r="117" spans="1:5">
      <c r="A117" s="236" t="s">
        <v>51</v>
      </c>
      <c r="B117" s="236" t="s">
        <v>106</v>
      </c>
      <c r="C117" s="236" t="s">
        <v>211</v>
      </c>
      <c r="D117" s="238">
        <v>-112.08</v>
      </c>
    </row>
    <row r="118" spans="1:5">
      <c r="A118" s="236" t="s">
        <v>51</v>
      </c>
      <c r="B118" s="236" t="s">
        <v>51</v>
      </c>
      <c r="C118" s="236" t="s">
        <v>158</v>
      </c>
      <c r="D118" s="238">
        <v>-152.80000000000001</v>
      </c>
    </row>
    <row r="119" spans="1:5">
      <c r="A119" s="236" t="s">
        <v>51</v>
      </c>
      <c r="B119" s="236" t="s">
        <v>51</v>
      </c>
      <c r="C119" s="236" t="s">
        <v>95</v>
      </c>
      <c r="D119" s="238">
        <v>-705.46999999999991</v>
      </c>
    </row>
    <row r="120" spans="1:5">
      <c r="A120" s="236" t="s">
        <v>51</v>
      </c>
      <c r="B120" s="236" t="s">
        <v>51</v>
      </c>
      <c r="C120" s="236" t="s">
        <v>159</v>
      </c>
      <c r="D120" s="238">
        <v>-1235</v>
      </c>
    </row>
    <row r="121" spans="1:5">
      <c r="A121" s="236" t="s">
        <v>51</v>
      </c>
      <c r="B121" s="236" t="s">
        <v>121</v>
      </c>
      <c r="C121" s="236" t="s">
        <v>162</v>
      </c>
      <c r="D121" s="238">
        <v>-2548.85</v>
      </c>
    </row>
    <row r="122" spans="1:5" ht="30">
      <c r="A122" s="236" t="s">
        <v>51</v>
      </c>
      <c r="B122" s="236" t="s">
        <v>160</v>
      </c>
      <c r="C122" s="236" t="s">
        <v>171</v>
      </c>
      <c r="D122" s="238">
        <v>-1200</v>
      </c>
    </row>
    <row r="123" spans="1:5">
      <c r="A123" s="236" t="s">
        <v>51</v>
      </c>
      <c r="B123" s="236" t="s">
        <v>51</v>
      </c>
      <c r="C123" s="236" t="s">
        <v>161</v>
      </c>
      <c r="D123" s="238">
        <v>-2352.16</v>
      </c>
    </row>
    <row r="124" spans="1:5">
      <c r="A124" s="236" t="s">
        <v>51</v>
      </c>
      <c r="B124" s="236" t="s">
        <v>143</v>
      </c>
      <c r="C124" s="236" t="s">
        <v>62</v>
      </c>
      <c r="D124" s="238">
        <v>-4000</v>
      </c>
    </row>
    <row r="125" spans="1:5">
      <c r="A125" s="236" t="s">
        <v>51</v>
      </c>
      <c r="B125" s="236" t="s">
        <v>51</v>
      </c>
      <c r="C125" s="236" t="s">
        <v>63</v>
      </c>
      <c r="D125" s="238">
        <v>-4000</v>
      </c>
    </row>
    <row r="126" spans="1:5">
      <c r="A126" s="236"/>
      <c r="B126" s="236"/>
      <c r="C126" s="236" t="s">
        <v>205</v>
      </c>
      <c r="D126" s="239">
        <f>SUM(D112:D125)</f>
        <v>-18968.099999999999</v>
      </c>
    </row>
    <row r="127" spans="1:5">
      <c r="A127" s="236"/>
      <c r="B127" s="236"/>
      <c r="C127" s="255" t="s">
        <v>206</v>
      </c>
      <c r="D127" s="256">
        <f>D109+D110+D111+D126</f>
        <v>-9326.02</v>
      </c>
      <c r="E127" t="s">
        <v>490</v>
      </c>
    </row>
    <row r="128" spans="1:5">
      <c r="A128" s="221" t="s">
        <v>164</v>
      </c>
      <c r="B128" s="221" t="s">
        <v>51</v>
      </c>
      <c r="C128" s="221" t="s">
        <v>51</v>
      </c>
      <c r="D128" s="257">
        <v>43903</v>
      </c>
      <c r="E128" s="390">
        <f>+D127+D108+D97+D85+D77+D63</f>
        <v>44217.990200000007</v>
      </c>
    </row>
  </sheetData>
  <autoFilter ref="A1:D1" xr:uid="{112AEA10-5D2F-4FD6-9F14-91E3177E5E12}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97E7-ED80-451B-A845-C11824199A61}">
  <sheetPr>
    <tabColor rgb="FF00B050"/>
  </sheetPr>
  <dimension ref="A1:D130"/>
  <sheetViews>
    <sheetView topLeftCell="A109" workbookViewId="0">
      <selection activeCell="C144" sqref="C144"/>
    </sheetView>
  </sheetViews>
  <sheetFormatPr baseColWidth="10" defaultColWidth="37.5" defaultRowHeight="15"/>
  <sheetData>
    <row r="1" spans="1:4">
      <c r="A1" s="265" t="s">
        <v>44</v>
      </c>
      <c r="B1" s="265" t="s">
        <v>45</v>
      </c>
      <c r="C1" s="265" t="s">
        <v>213</v>
      </c>
      <c r="D1" s="266" t="s">
        <v>47</v>
      </c>
    </row>
    <row r="2" spans="1:4">
      <c r="A2" s="267" t="s">
        <v>154</v>
      </c>
      <c r="B2" s="267" t="s">
        <v>121</v>
      </c>
      <c r="C2" s="267" t="s">
        <v>214</v>
      </c>
      <c r="D2" s="268">
        <v>-2804.66</v>
      </c>
    </row>
    <row r="3" spans="1:4">
      <c r="A3" s="267" t="s">
        <v>51</v>
      </c>
      <c r="B3" s="267" t="s">
        <v>106</v>
      </c>
      <c r="C3" s="267" t="s">
        <v>215</v>
      </c>
      <c r="D3" s="268">
        <v>-293.16000000000003</v>
      </c>
    </row>
    <row r="4" spans="1:4" ht="30">
      <c r="A4" s="267" t="s">
        <v>51</v>
      </c>
      <c r="B4" s="267" t="s">
        <v>51</v>
      </c>
      <c r="C4" s="267" t="s">
        <v>216</v>
      </c>
      <c r="D4" s="268">
        <v>-112.08</v>
      </c>
    </row>
    <row r="5" spans="1:4" ht="30">
      <c r="A5" s="267" t="s">
        <v>51</v>
      </c>
      <c r="B5" s="267" t="s">
        <v>51</v>
      </c>
      <c r="C5" s="267" t="s">
        <v>217</v>
      </c>
      <c r="D5" s="268">
        <v>-152.84</v>
      </c>
    </row>
    <row r="6" spans="1:4">
      <c r="A6" s="267" t="s">
        <v>51</v>
      </c>
      <c r="B6" s="267" t="s">
        <v>51</v>
      </c>
      <c r="C6" s="267" t="s">
        <v>218</v>
      </c>
      <c r="D6" s="268">
        <v>-57.67</v>
      </c>
    </row>
    <row r="7" spans="1:4">
      <c r="A7" s="267" t="s">
        <v>51</v>
      </c>
      <c r="B7" s="267" t="s">
        <v>51</v>
      </c>
      <c r="C7" s="267" t="s">
        <v>219</v>
      </c>
      <c r="D7" s="268">
        <v>-69.89</v>
      </c>
    </row>
    <row r="8" spans="1:4" ht="30">
      <c r="A8" s="267" t="s">
        <v>51</v>
      </c>
      <c r="B8" s="267" t="s">
        <v>51</v>
      </c>
      <c r="C8" s="267" t="s">
        <v>220</v>
      </c>
      <c r="D8" s="268">
        <v>-227.16</v>
      </c>
    </row>
    <row r="9" spans="1:4">
      <c r="A9" s="267" t="s">
        <v>51</v>
      </c>
      <c r="B9" s="267" t="s">
        <v>55</v>
      </c>
      <c r="C9" s="267" t="s">
        <v>221</v>
      </c>
      <c r="D9" s="268">
        <v>-9.2100000000000009</v>
      </c>
    </row>
    <row r="10" spans="1:4">
      <c r="A10" s="267" t="s">
        <v>51</v>
      </c>
      <c r="B10" s="267" t="s">
        <v>51</v>
      </c>
      <c r="C10" s="267" t="s">
        <v>222</v>
      </c>
      <c r="D10" s="268">
        <v>-17.57</v>
      </c>
    </row>
    <row r="11" spans="1:4">
      <c r="A11" s="267" t="s">
        <v>51</v>
      </c>
      <c r="B11" s="267" t="s">
        <v>51</v>
      </c>
      <c r="C11" s="267" t="s">
        <v>223</v>
      </c>
      <c r="D11" s="268">
        <v>-62.65</v>
      </c>
    </row>
    <row r="12" spans="1:4">
      <c r="A12" s="267" t="s">
        <v>51</v>
      </c>
      <c r="B12" s="267" t="s">
        <v>119</v>
      </c>
      <c r="C12" s="267" t="s">
        <v>224</v>
      </c>
      <c r="D12" s="268">
        <v>-381.31</v>
      </c>
    </row>
    <row r="13" spans="1:4">
      <c r="A13" s="267" t="s">
        <v>51</v>
      </c>
      <c r="B13" s="267" t="s">
        <v>73</v>
      </c>
      <c r="C13" s="267" t="s">
        <v>225</v>
      </c>
      <c r="D13" s="268">
        <v>-197.5</v>
      </c>
    </row>
    <row r="14" spans="1:4" ht="30">
      <c r="A14" s="267" t="s">
        <v>51</v>
      </c>
      <c r="B14" s="267" t="s">
        <v>126</v>
      </c>
      <c r="C14" s="267" t="s">
        <v>226</v>
      </c>
      <c r="D14" s="268">
        <v>-208.64999999999998</v>
      </c>
    </row>
    <row r="15" spans="1:4" ht="30">
      <c r="A15" s="267" t="s">
        <v>51</v>
      </c>
      <c r="B15" s="267" t="s">
        <v>160</v>
      </c>
      <c r="C15" s="267" t="s">
        <v>227</v>
      </c>
      <c r="D15" s="268">
        <v>-477.38</v>
      </c>
    </row>
    <row r="16" spans="1:4">
      <c r="A16" s="267" t="s">
        <v>51</v>
      </c>
      <c r="B16" s="267" t="s">
        <v>51</v>
      </c>
      <c r="C16" s="267" t="s">
        <v>228</v>
      </c>
      <c r="D16" s="268">
        <v>-2352.17</v>
      </c>
    </row>
    <row r="17" spans="1:4" ht="30">
      <c r="A17" s="267" t="s">
        <v>51</v>
      </c>
      <c r="B17" s="267" t="s">
        <v>156</v>
      </c>
      <c r="C17" s="267" t="s">
        <v>229</v>
      </c>
      <c r="D17" s="268">
        <v>-950</v>
      </c>
    </row>
    <row r="18" spans="1:4">
      <c r="A18" s="267" t="s">
        <v>51</v>
      </c>
      <c r="B18" s="267" t="s">
        <v>143</v>
      </c>
      <c r="C18" s="267" t="s">
        <v>230</v>
      </c>
      <c r="D18" s="268">
        <v>-4000</v>
      </c>
    </row>
    <row r="19" spans="1:4">
      <c r="A19" s="267" t="s">
        <v>51</v>
      </c>
      <c r="B19" s="267" t="s">
        <v>51</v>
      </c>
      <c r="C19" s="267" t="s">
        <v>231</v>
      </c>
      <c r="D19" s="268">
        <v>-4000</v>
      </c>
    </row>
    <row r="20" spans="1:4">
      <c r="A20" s="267" t="s">
        <v>51</v>
      </c>
      <c r="B20" s="267" t="s">
        <v>49</v>
      </c>
      <c r="C20" s="267" t="s">
        <v>232</v>
      </c>
      <c r="D20" s="268">
        <v>74.680000000000007</v>
      </c>
    </row>
    <row r="21" spans="1:4" ht="30">
      <c r="A21" s="267" t="s">
        <v>51</v>
      </c>
      <c r="B21" s="267" t="s">
        <v>51</v>
      </c>
      <c r="C21" s="267" t="s">
        <v>233</v>
      </c>
      <c r="D21" s="268">
        <v>3822.2595000000001</v>
      </c>
    </row>
    <row r="22" spans="1:4" ht="30">
      <c r="A22" s="267" t="s">
        <v>51</v>
      </c>
      <c r="B22" s="267" t="s">
        <v>51</v>
      </c>
      <c r="C22" s="267" t="s">
        <v>234</v>
      </c>
      <c r="D22" s="268">
        <v>337.20940000000002</v>
      </c>
    </row>
    <row r="23" spans="1:4">
      <c r="A23" s="267" t="s">
        <v>51</v>
      </c>
      <c r="B23" s="267" t="s">
        <v>83</v>
      </c>
      <c r="C23" s="267" t="s">
        <v>235</v>
      </c>
      <c r="D23" s="268">
        <v>2.8200000000000003</v>
      </c>
    </row>
    <row r="24" spans="1:4">
      <c r="A24" s="267" t="s">
        <v>51</v>
      </c>
      <c r="B24" s="267" t="s">
        <v>76</v>
      </c>
      <c r="C24" s="267" t="s">
        <v>236</v>
      </c>
      <c r="D24" s="268">
        <v>-0.01</v>
      </c>
    </row>
    <row r="25" spans="1:4">
      <c r="A25" s="267"/>
      <c r="B25" s="267"/>
      <c r="C25" s="269" t="s">
        <v>237</v>
      </c>
      <c r="D25" s="270">
        <f>SUM(D20:D24)</f>
        <v>4236.9588999999996</v>
      </c>
    </row>
    <row r="26" spans="1:4">
      <c r="A26" s="267"/>
      <c r="B26" s="267"/>
      <c r="C26" s="271" t="s">
        <v>238</v>
      </c>
      <c r="D26" s="272">
        <f>SUM(D2:D19)</f>
        <v>-16373.9</v>
      </c>
    </row>
    <row r="27" spans="1:4">
      <c r="A27" s="267"/>
      <c r="B27" s="267"/>
      <c r="C27" s="273" t="s">
        <v>239</v>
      </c>
      <c r="D27" s="274">
        <f>D25+D26</f>
        <v>-12136.9411</v>
      </c>
    </row>
    <row r="28" spans="1:4" ht="60">
      <c r="A28" s="275" t="s">
        <v>34</v>
      </c>
      <c r="B28" s="275" t="s">
        <v>55</v>
      </c>
      <c r="C28" s="275" t="s">
        <v>240</v>
      </c>
      <c r="D28" s="276">
        <v>-191.25</v>
      </c>
    </row>
    <row r="29" spans="1:4">
      <c r="A29" s="275" t="s">
        <v>51</v>
      </c>
      <c r="B29" s="275" t="s">
        <v>51</v>
      </c>
      <c r="C29" s="275" t="s">
        <v>241</v>
      </c>
      <c r="D29" s="276">
        <v>-2286.5500000000002</v>
      </c>
    </row>
    <row r="30" spans="1:4">
      <c r="A30" s="275" t="s">
        <v>51</v>
      </c>
      <c r="B30" s="275" t="s">
        <v>51</v>
      </c>
      <c r="C30" s="275" t="s">
        <v>242</v>
      </c>
      <c r="D30" s="276">
        <v>-255.39</v>
      </c>
    </row>
    <row r="31" spans="1:4">
      <c r="A31" s="275" t="s">
        <v>51</v>
      </c>
      <c r="B31" s="275" t="s">
        <v>51</v>
      </c>
      <c r="C31" s="275" t="s">
        <v>243</v>
      </c>
      <c r="D31" s="276">
        <v>-106.25</v>
      </c>
    </row>
    <row r="32" spans="1:4">
      <c r="A32" s="275" t="s">
        <v>51</v>
      </c>
      <c r="B32" s="275" t="s">
        <v>51</v>
      </c>
      <c r="C32" s="275" t="s">
        <v>244</v>
      </c>
      <c r="D32" s="276">
        <v>-1377.01</v>
      </c>
    </row>
    <row r="33" spans="1:4">
      <c r="A33" s="275" t="s">
        <v>51</v>
      </c>
      <c r="B33" s="275" t="s">
        <v>51</v>
      </c>
      <c r="C33" s="275" t="s">
        <v>245</v>
      </c>
      <c r="D33" s="276">
        <v>-580.38</v>
      </c>
    </row>
    <row r="34" spans="1:4">
      <c r="A34" s="275" t="s">
        <v>51</v>
      </c>
      <c r="B34" s="275" t="s">
        <v>51</v>
      </c>
      <c r="C34" s="275" t="s">
        <v>246</v>
      </c>
      <c r="D34" s="276">
        <v>-860.63</v>
      </c>
    </row>
    <row r="35" spans="1:4">
      <c r="A35" s="275" t="s">
        <v>51</v>
      </c>
      <c r="B35" s="275" t="s">
        <v>51</v>
      </c>
      <c r="C35" s="275" t="s">
        <v>247</v>
      </c>
      <c r="D35" s="276">
        <v>-140.25</v>
      </c>
    </row>
    <row r="36" spans="1:4">
      <c r="A36" s="275" t="s">
        <v>51</v>
      </c>
      <c r="B36" s="275" t="s">
        <v>51</v>
      </c>
      <c r="C36" s="275" t="s">
        <v>248</v>
      </c>
      <c r="D36" s="276">
        <v>-632.47</v>
      </c>
    </row>
    <row r="37" spans="1:4">
      <c r="A37" s="275" t="s">
        <v>51</v>
      </c>
      <c r="B37" s="275" t="s">
        <v>249</v>
      </c>
      <c r="C37" s="275" t="s">
        <v>250</v>
      </c>
      <c r="D37" s="276">
        <v>-884.45</v>
      </c>
    </row>
    <row r="38" spans="1:4">
      <c r="A38" s="275" t="s">
        <v>51</v>
      </c>
      <c r="B38" s="275" t="s">
        <v>49</v>
      </c>
      <c r="C38" s="275" t="s">
        <v>251</v>
      </c>
      <c r="D38" s="276">
        <v>625</v>
      </c>
    </row>
    <row r="39" spans="1:4" ht="30">
      <c r="A39" s="275" t="s">
        <v>51</v>
      </c>
      <c r="B39" s="275" t="s">
        <v>51</v>
      </c>
      <c r="C39" s="275" t="s">
        <v>252</v>
      </c>
      <c r="D39" s="276">
        <v>2222.3200000000002</v>
      </c>
    </row>
    <row r="40" spans="1:4" ht="45">
      <c r="A40" s="275" t="s">
        <v>51</v>
      </c>
      <c r="B40" s="275" t="s">
        <v>51</v>
      </c>
      <c r="C40" s="275" t="s">
        <v>253</v>
      </c>
      <c r="D40" s="276">
        <v>18655.28</v>
      </c>
    </row>
    <row r="41" spans="1:4" ht="45">
      <c r="A41" s="275" t="s">
        <v>51</v>
      </c>
      <c r="B41" s="275" t="s">
        <v>51</v>
      </c>
      <c r="C41" s="275" t="s">
        <v>254</v>
      </c>
      <c r="D41" s="276">
        <v>5900</v>
      </c>
    </row>
    <row r="42" spans="1:4" ht="30">
      <c r="A42" s="275" t="s">
        <v>51</v>
      </c>
      <c r="B42" s="275" t="s">
        <v>51</v>
      </c>
      <c r="C42" s="275" t="s">
        <v>255</v>
      </c>
      <c r="D42" s="276">
        <v>1365.59</v>
      </c>
    </row>
    <row r="43" spans="1:4">
      <c r="A43" s="275" t="s">
        <v>51</v>
      </c>
      <c r="B43" s="275" t="s">
        <v>79</v>
      </c>
      <c r="C43" s="275" t="s">
        <v>256</v>
      </c>
      <c r="D43" s="276">
        <v>-2000</v>
      </c>
    </row>
    <row r="44" spans="1:4">
      <c r="A44" s="275" t="s">
        <v>51</v>
      </c>
      <c r="B44" s="275" t="s">
        <v>76</v>
      </c>
      <c r="C44" s="275" t="s">
        <v>257</v>
      </c>
      <c r="D44" s="276">
        <v>-90</v>
      </c>
    </row>
    <row r="45" spans="1:4">
      <c r="A45" s="275"/>
      <c r="B45" s="275"/>
      <c r="C45" s="269" t="s">
        <v>237</v>
      </c>
      <c r="D45" s="270">
        <f>SUM(D38:D42)</f>
        <v>28768.19</v>
      </c>
    </row>
    <row r="46" spans="1:4">
      <c r="A46" s="275"/>
      <c r="B46" s="275"/>
      <c r="C46" s="271" t="s">
        <v>238</v>
      </c>
      <c r="D46" s="272">
        <f>SUM(D28:D37,D43,D44)</f>
        <v>-9404.630000000001</v>
      </c>
    </row>
    <row r="47" spans="1:4" ht="16" thickBot="1">
      <c r="A47" s="277"/>
      <c r="B47" s="277"/>
      <c r="C47" s="278" t="s">
        <v>239</v>
      </c>
      <c r="D47" s="279">
        <f>D45+D46</f>
        <v>19363.559999999998</v>
      </c>
    </row>
    <row r="48" spans="1:4">
      <c r="A48" s="280" t="s">
        <v>35</v>
      </c>
      <c r="B48" s="281" t="s">
        <v>55</v>
      </c>
      <c r="C48" s="281" t="s">
        <v>258</v>
      </c>
      <c r="D48" s="282">
        <v>-1226.92</v>
      </c>
    </row>
    <row r="49" spans="1:4" ht="30">
      <c r="A49" s="283" t="s">
        <v>51</v>
      </c>
      <c r="B49" s="284" t="s">
        <v>49</v>
      </c>
      <c r="C49" s="284" t="s">
        <v>234</v>
      </c>
      <c r="D49" s="285">
        <v>5556.9106000000002</v>
      </c>
    </row>
    <row r="50" spans="1:4" ht="16" thickBot="1">
      <c r="A50" s="286"/>
      <c r="B50" s="287"/>
      <c r="C50" s="288" t="s">
        <v>239</v>
      </c>
      <c r="D50" s="289">
        <f>D48+D49</f>
        <v>4329.9906000000001</v>
      </c>
    </row>
    <row r="51" spans="1:4">
      <c r="A51" s="290" t="s">
        <v>148</v>
      </c>
      <c r="B51" s="291" t="s">
        <v>55</v>
      </c>
      <c r="C51" s="291" t="s">
        <v>259</v>
      </c>
      <c r="D51" s="292">
        <v>-1994.18</v>
      </c>
    </row>
    <row r="52" spans="1:4">
      <c r="A52" s="293" t="s">
        <v>51</v>
      </c>
      <c r="B52" s="294" t="s">
        <v>49</v>
      </c>
      <c r="C52" s="294" t="s">
        <v>232</v>
      </c>
      <c r="D52" s="295">
        <v>6704.37</v>
      </c>
    </row>
    <row r="53" spans="1:4" ht="16" thickBot="1">
      <c r="A53" s="296"/>
      <c r="B53" s="297"/>
      <c r="C53" s="298" t="s">
        <v>239</v>
      </c>
      <c r="D53" s="299">
        <f>D51+D52</f>
        <v>4710.1899999999996</v>
      </c>
    </row>
    <row r="54" spans="1:4" ht="30">
      <c r="A54" s="300" t="s">
        <v>81</v>
      </c>
      <c r="B54" s="300" t="s">
        <v>260</v>
      </c>
      <c r="C54" s="300" t="s">
        <v>261</v>
      </c>
      <c r="D54" s="301">
        <v>-1142.75</v>
      </c>
    </row>
    <row r="55" spans="1:4">
      <c r="A55" s="275" t="s">
        <v>51</v>
      </c>
      <c r="B55" s="275" t="s">
        <v>121</v>
      </c>
      <c r="C55" s="275" t="s">
        <v>262</v>
      </c>
      <c r="D55" s="276">
        <v>-2019.95</v>
      </c>
    </row>
    <row r="56" spans="1:4">
      <c r="A56" s="275" t="s">
        <v>51</v>
      </c>
      <c r="B56" s="275" t="s">
        <v>106</v>
      </c>
      <c r="C56" s="275" t="s">
        <v>263</v>
      </c>
      <c r="D56" s="276">
        <v>-399.89</v>
      </c>
    </row>
    <row r="57" spans="1:4">
      <c r="A57" s="275" t="s">
        <v>51</v>
      </c>
      <c r="B57" s="275" t="s">
        <v>51</v>
      </c>
      <c r="C57" s="275" t="s">
        <v>264</v>
      </c>
      <c r="D57" s="276">
        <v>-135.47999999999999</v>
      </c>
    </row>
    <row r="58" spans="1:4">
      <c r="A58" s="275" t="s">
        <v>51</v>
      </c>
      <c r="B58" s="275" t="s">
        <v>51</v>
      </c>
      <c r="C58" s="275" t="s">
        <v>265</v>
      </c>
      <c r="D58" s="276">
        <v>-54.08</v>
      </c>
    </row>
    <row r="59" spans="1:4">
      <c r="A59" s="275" t="s">
        <v>51</v>
      </c>
      <c r="B59" s="275" t="s">
        <v>51</v>
      </c>
      <c r="C59" s="275" t="s">
        <v>266</v>
      </c>
      <c r="D59" s="276">
        <v>-59.8</v>
      </c>
    </row>
    <row r="60" spans="1:4">
      <c r="A60" s="275" t="s">
        <v>51</v>
      </c>
      <c r="B60" s="275" t="s">
        <v>55</v>
      </c>
      <c r="C60" s="275" t="s">
        <v>267</v>
      </c>
      <c r="D60" s="276">
        <v>-703.13</v>
      </c>
    </row>
    <row r="61" spans="1:4">
      <c r="A61" s="275" t="s">
        <v>51</v>
      </c>
      <c r="B61" s="275" t="s">
        <v>51</v>
      </c>
      <c r="C61" s="275" t="s">
        <v>268</v>
      </c>
      <c r="D61" s="276">
        <v>-3000</v>
      </c>
    </row>
    <row r="62" spans="1:4">
      <c r="A62" s="275" t="s">
        <v>51</v>
      </c>
      <c r="B62" s="275" t="s">
        <v>51</v>
      </c>
      <c r="C62" s="275" t="s">
        <v>269</v>
      </c>
      <c r="D62" s="276">
        <v>-6681.97</v>
      </c>
    </row>
    <row r="63" spans="1:4">
      <c r="A63" s="275" t="s">
        <v>51</v>
      </c>
      <c r="B63" s="275" t="s">
        <v>51</v>
      </c>
      <c r="C63" s="275" t="s">
        <v>270</v>
      </c>
      <c r="D63" s="276">
        <v>-2000</v>
      </c>
    </row>
    <row r="64" spans="1:4">
      <c r="A64" s="275" t="s">
        <v>51</v>
      </c>
      <c r="B64" s="275" t="s">
        <v>51</v>
      </c>
      <c r="C64" s="275" t="s">
        <v>271</v>
      </c>
      <c r="D64" s="276">
        <v>-43.75</v>
      </c>
    </row>
    <row r="65" spans="1:4">
      <c r="A65" s="275" t="s">
        <v>51</v>
      </c>
      <c r="B65" s="275" t="s">
        <v>51</v>
      </c>
      <c r="C65" s="275" t="s">
        <v>272</v>
      </c>
      <c r="D65" s="276">
        <v>-800</v>
      </c>
    </row>
    <row r="66" spans="1:4">
      <c r="A66" s="275" t="s">
        <v>51</v>
      </c>
      <c r="B66" s="275" t="s">
        <v>51</v>
      </c>
      <c r="C66" s="275" t="s">
        <v>273</v>
      </c>
      <c r="D66" s="276">
        <v>-3000</v>
      </c>
    </row>
    <row r="67" spans="1:4" ht="45">
      <c r="A67" s="275" t="s">
        <v>51</v>
      </c>
      <c r="B67" s="275" t="s">
        <v>123</v>
      </c>
      <c r="C67" s="275" t="s">
        <v>274</v>
      </c>
      <c r="D67" s="276">
        <v>-600</v>
      </c>
    </row>
    <row r="68" spans="1:4" ht="30">
      <c r="A68" s="275" t="s">
        <v>51</v>
      </c>
      <c r="B68" s="275" t="s">
        <v>51</v>
      </c>
      <c r="C68" s="275" t="s">
        <v>275</v>
      </c>
      <c r="D68" s="276">
        <v>-1300.5999999999999</v>
      </c>
    </row>
    <row r="69" spans="1:4" ht="30">
      <c r="A69" s="275" t="s">
        <v>51</v>
      </c>
      <c r="B69" s="275" t="s">
        <v>51</v>
      </c>
      <c r="C69" s="275" t="s">
        <v>276</v>
      </c>
      <c r="D69" s="276">
        <v>-34.18</v>
      </c>
    </row>
    <row r="70" spans="1:4" ht="30">
      <c r="A70" s="275" t="s">
        <v>51</v>
      </c>
      <c r="B70" s="275" t="s">
        <v>51</v>
      </c>
      <c r="C70" s="275" t="s">
        <v>277</v>
      </c>
      <c r="D70" s="276">
        <v>-500</v>
      </c>
    </row>
    <row r="71" spans="1:4">
      <c r="A71" s="275" t="s">
        <v>51</v>
      </c>
      <c r="B71" s="275" t="s">
        <v>104</v>
      </c>
      <c r="C71" s="275" t="s">
        <v>278</v>
      </c>
      <c r="D71" s="276">
        <v>-427.56</v>
      </c>
    </row>
    <row r="72" spans="1:4" ht="30">
      <c r="A72" s="275" t="s">
        <v>51</v>
      </c>
      <c r="B72" s="275" t="s">
        <v>141</v>
      </c>
      <c r="C72" s="275" t="s">
        <v>279</v>
      </c>
      <c r="D72" s="276">
        <v>-4539</v>
      </c>
    </row>
    <row r="73" spans="1:4">
      <c r="A73" s="275" t="s">
        <v>51</v>
      </c>
      <c r="B73" s="275" t="s">
        <v>74</v>
      </c>
      <c r="C73" s="275" t="s">
        <v>280</v>
      </c>
      <c r="D73" s="276">
        <v>-60</v>
      </c>
    </row>
    <row r="74" spans="1:4">
      <c r="A74" s="275" t="s">
        <v>51</v>
      </c>
      <c r="B74" s="275" t="s">
        <v>51</v>
      </c>
      <c r="C74" s="275" t="s">
        <v>281</v>
      </c>
      <c r="D74" s="276">
        <v>-461.62</v>
      </c>
    </row>
    <row r="75" spans="1:4">
      <c r="A75" s="275" t="s">
        <v>51</v>
      </c>
      <c r="B75" s="275" t="s">
        <v>51</v>
      </c>
      <c r="C75" s="275" t="s">
        <v>282</v>
      </c>
      <c r="D75" s="276">
        <v>-196.19</v>
      </c>
    </row>
    <row r="76" spans="1:4" ht="30">
      <c r="A76" s="275" t="s">
        <v>51</v>
      </c>
      <c r="B76" s="275" t="s">
        <v>51</v>
      </c>
      <c r="C76" s="275" t="s">
        <v>283</v>
      </c>
      <c r="D76" s="276">
        <v>-249.75</v>
      </c>
    </row>
    <row r="77" spans="1:4" ht="30">
      <c r="A77" s="275" t="s">
        <v>51</v>
      </c>
      <c r="B77" s="275" t="s">
        <v>51</v>
      </c>
      <c r="C77" s="275" t="s">
        <v>284</v>
      </c>
      <c r="D77" s="276">
        <v>-3251.08</v>
      </c>
    </row>
    <row r="78" spans="1:4">
      <c r="A78" s="275" t="s">
        <v>51</v>
      </c>
      <c r="B78" s="275" t="s">
        <v>119</v>
      </c>
      <c r="C78" s="275" t="s">
        <v>119</v>
      </c>
      <c r="D78" s="276">
        <v>-335.62</v>
      </c>
    </row>
    <row r="79" spans="1:4">
      <c r="A79" s="275" t="s">
        <v>51</v>
      </c>
      <c r="B79" s="275" t="s">
        <v>85</v>
      </c>
      <c r="C79" s="275" t="s">
        <v>285</v>
      </c>
      <c r="D79" s="276">
        <v>-63.91</v>
      </c>
    </row>
    <row r="80" spans="1:4">
      <c r="A80" s="275" t="s">
        <v>51</v>
      </c>
      <c r="B80" s="275" t="s">
        <v>249</v>
      </c>
      <c r="C80" s="275" t="s">
        <v>286</v>
      </c>
      <c r="D80" s="276">
        <v>-1739.7</v>
      </c>
    </row>
    <row r="81" spans="1:4" ht="30">
      <c r="A81" s="275" t="s">
        <v>51</v>
      </c>
      <c r="B81" s="275" t="s">
        <v>51</v>
      </c>
      <c r="C81" s="275" t="s">
        <v>287</v>
      </c>
      <c r="D81" s="276">
        <v>-560</v>
      </c>
    </row>
    <row r="82" spans="1:4">
      <c r="A82" s="275" t="s">
        <v>51</v>
      </c>
      <c r="B82" s="275" t="s">
        <v>90</v>
      </c>
      <c r="C82" s="275" t="s">
        <v>288</v>
      </c>
      <c r="D82" s="276">
        <v>-448.97</v>
      </c>
    </row>
    <row r="83" spans="1:4">
      <c r="A83" s="275" t="s">
        <v>51</v>
      </c>
      <c r="B83" s="275" t="s">
        <v>87</v>
      </c>
      <c r="C83" s="275" t="s">
        <v>289</v>
      </c>
      <c r="D83" s="276">
        <v>-40</v>
      </c>
    </row>
    <row r="84" spans="1:4">
      <c r="A84" s="275" t="s">
        <v>51</v>
      </c>
      <c r="B84" s="275" t="s">
        <v>51</v>
      </c>
      <c r="C84" s="275" t="s">
        <v>290</v>
      </c>
      <c r="D84" s="276">
        <v>-140</v>
      </c>
    </row>
    <row r="85" spans="1:4">
      <c r="A85" s="275" t="s">
        <v>51</v>
      </c>
      <c r="B85" s="275" t="s">
        <v>113</v>
      </c>
      <c r="C85" s="275" t="s">
        <v>291</v>
      </c>
      <c r="D85" s="276">
        <v>-200</v>
      </c>
    </row>
    <row r="86" spans="1:4">
      <c r="A86" s="275" t="s">
        <v>51</v>
      </c>
      <c r="B86" s="275" t="s">
        <v>51</v>
      </c>
      <c r="C86" s="275" t="s">
        <v>292</v>
      </c>
      <c r="D86" s="276">
        <v>-200</v>
      </c>
    </row>
    <row r="87" spans="1:4">
      <c r="A87" s="275" t="s">
        <v>51</v>
      </c>
      <c r="B87" s="275" t="s">
        <v>51</v>
      </c>
      <c r="C87" s="275" t="s">
        <v>293</v>
      </c>
      <c r="D87" s="276">
        <v>-600</v>
      </c>
    </row>
    <row r="88" spans="1:4">
      <c r="A88" s="275" t="s">
        <v>51</v>
      </c>
      <c r="B88" s="275" t="s">
        <v>92</v>
      </c>
      <c r="C88" s="275" t="s">
        <v>294</v>
      </c>
      <c r="D88" s="276">
        <v>-338.82</v>
      </c>
    </row>
    <row r="89" spans="1:4">
      <c r="A89" s="275" t="s">
        <v>51</v>
      </c>
      <c r="B89" s="275" t="s">
        <v>51</v>
      </c>
      <c r="C89" s="275" t="s">
        <v>295</v>
      </c>
      <c r="D89" s="276">
        <v>-215.04</v>
      </c>
    </row>
    <row r="90" spans="1:4">
      <c r="A90" s="275" t="s">
        <v>51</v>
      </c>
      <c r="B90" s="275" t="s">
        <v>126</v>
      </c>
      <c r="C90" s="275" t="s">
        <v>296</v>
      </c>
      <c r="D90" s="276">
        <v>-24.24</v>
      </c>
    </row>
    <row r="91" spans="1:4">
      <c r="A91" s="275" t="s">
        <v>51</v>
      </c>
      <c r="B91" s="275" t="s">
        <v>51</v>
      </c>
      <c r="C91" s="275" t="s">
        <v>297</v>
      </c>
      <c r="D91" s="276">
        <v>-247.92</v>
      </c>
    </row>
    <row r="92" spans="1:4">
      <c r="A92" s="275" t="s">
        <v>51</v>
      </c>
      <c r="B92" s="275" t="s">
        <v>51</v>
      </c>
      <c r="C92" s="275" t="s">
        <v>298</v>
      </c>
      <c r="D92" s="276">
        <v>-50</v>
      </c>
    </row>
    <row r="93" spans="1:4">
      <c r="A93" s="275" t="s">
        <v>51</v>
      </c>
      <c r="B93" s="275" t="s">
        <v>51</v>
      </c>
      <c r="C93" s="275" t="s">
        <v>299</v>
      </c>
      <c r="D93" s="276">
        <v>-99.9</v>
      </c>
    </row>
    <row r="94" spans="1:4">
      <c r="A94" s="275" t="s">
        <v>51</v>
      </c>
      <c r="B94" s="275" t="s">
        <v>51</v>
      </c>
      <c r="C94" s="275" t="s">
        <v>300</v>
      </c>
      <c r="D94" s="276">
        <v>-273.86</v>
      </c>
    </row>
    <row r="95" spans="1:4">
      <c r="A95" s="275" t="s">
        <v>51</v>
      </c>
      <c r="B95" s="275" t="s">
        <v>51</v>
      </c>
      <c r="C95" s="275" t="s">
        <v>301</v>
      </c>
      <c r="D95" s="276">
        <v>-1597</v>
      </c>
    </row>
    <row r="96" spans="1:4">
      <c r="A96" s="275" t="s">
        <v>51</v>
      </c>
      <c r="B96" s="275" t="s">
        <v>51</v>
      </c>
      <c r="C96" s="275" t="s">
        <v>302</v>
      </c>
      <c r="D96" s="276">
        <v>-38</v>
      </c>
    </row>
    <row r="97" spans="1:4">
      <c r="A97" s="275" t="s">
        <v>51</v>
      </c>
      <c r="B97" s="275" t="s">
        <v>139</v>
      </c>
      <c r="C97" s="275" t="s">
        <v>139</v>
      </c>
      <c r="D97" s="276">
        <v>-2655.21</v>
      </c>
    </row>
    <row r="98" spans="1:4">
      <c r="A98" s="275" t="s">
        <v>51</v>
      </c>
      <c r="B98" s="275" t="s">
        <v>98</v>
      </c>
      <c r="C98" s="275" t="s">
        <v>303</v>
      </c>
      <c r="D98" s="276">
        <v>-385.53</v>
      </c>
    </row>
    <row r="99" spans="1:4">
      <c r="A99" s="275" t="s">
        <v>51</v>
      </c>
      <c r="B99" s="275" t="s">
        <v>51</v>
      </c>
      <c r="C99" s="275" t="s">
        <v>304</v>
      </c>
      <c r="D99" s="276">
        <v>-73.569999999999993</v>
      </c>
    </row>
    <row r="100" spans="1:4" ht="30">
      <c r="A100" s="275" t="s">
        <v>51</v>
      </c>
      <c r="B100" s="275" t="s">
        <v>51</v>
      </c>
      <c r="C100" s="275" t="s">
        <v>305</v>
      </c>
      <c r="D100" s="276">
        <v>-75.83</v>
      </c>
    </row>
    <row r="101" spans="1:4">
      <c r="A101" s="275" t="s">
        <v>51</v>
      </c>
      <c r="B101" s="275" t="s">
        <v>136</v>
      </c>
      <c r="C101" s="275" t="s">
        <v>138</v>
      </c>
      <c r="D101" s="276">
        <v>-3121.96</v>
      </c>
    </row>
    <row r="102" spans="1:4" ht="30">
      <c r="A102" s="275" t="s">
        <v>51</v>
      </c>
      <c r="B102" s="275" t="s">
        <v>51</v>
      </c>
      <c r="C102" s="275" t="s">
        <v>306</v>
      </c>
      <c r="D102" s="276">
        <v>-212</v>
      </c>
    </row>
    <row r="103" spans="1:4">
      <c r="A103" s="275" t="s">
        <v>51</v>
      </c>
      <c r="B103" s="275" t="s">
        <v>51</v>
      </c>
      <c r="C103" s="275" t="s">
        <v>307</v>
      </c>
      <c r="D103" s="276">
        <v>-2700</v>
      </c>
    </row>
    <row r="104" spans="1:4">
      <c r="A104" s="275" t="s">
        <v>51</v>
      </c>
      <c r="B104" s="275" t="s">
        <v>115</v>
      </c>
      <c r="C104" s="275" t="s">
        <v>308</v>
      </c>
      <c r="D104" s="276">
        <v>-111.2</v>
      </c>
    </row>
    <row r="105" spans="1:4">
      <c r="A105" s="275" t="s">
        <v>51</v>
      </c>
      <c r="B105" s="275" t="s">
        <v>51</v>
      </c>
      <c r="C105" s="275" t="s">
        <v>309</v>
      </c>
      <c r="D105" s="276">
        <v>-766.67</v>
      </c>
    </row>
    <row r="106" spans="1:4" ht="45">
      <c r="A106" s="275" t="s">
        <v>51</v>
      </c>
      <c r="B106" s="275" t="s">
        <v>102</v>
      </c>
      <c r="C106" s="275" t="s">
        <v>310</v>
      </c>
      <c r="D106" s="276">
        <v>-403</v>
      </c>
    </row>
    <row r="107" spans="1:4" ht="45">
      <c r="A107" s="275" t="s">
        <v>51</v>
      </c>
      <c r="B107" s="275" t="s">
        <v>51</v>
      </c>
      <c r="C107" s="275" t="s">
        <v>311</v>
      </c>
      <c r="D107" s="276">
        <v>-736.17</v>
      </c>
    </row>
    <row r="108" spans="1:4">
      <c r="A108" s="275" t="s">
        <v>51</v>
      </c>
      <c r="B108" s="275" t="s">
        <v>94</v>
      </c>
      <c r="C108" s="275" t="s">
        <v>312</v>
      </c>
      <c r="D108" s="276">
        <v>-282.44</v>
      </c>
    </row>
    <row r="109" spans="1:4" ht="30">
      <c r="A109" s="275" t="s">
        <v>51</v>
      </c>
      <c r="B109" s="275" t="s">
        <v>51</v>
      </c>
      <c r="C109" s="275" t="s">
        <v>220</v>
      </c>
      <c r="D109" s="276">
        <v>-227.16</v>
      </c>
    </row>
    <row r="110" spans="1:4">
      <c r="A110" s="275" t="s">
        <v>51</v>
      </c>
      <c r="B110" s="275" t="s">
        <v>117</v>
      </c>
      <c r="C110" s="275" t="s">
        <v>313</v>
      </c>
      <c r="D110" s="276">
        <v>-1000</v>
      </c>
    </row>
    <row r="111" spans="1:4">
      <c r="A111" s="275" t="s">
        <v>51</v>
      </c>
      <c r="B111" s="275" t="s">
        <v>143</v>
      </c>
      <c r="C111" s="275" t="s">
        <v>314</v>
      </c>
      <c r="D111" s="276">
        <v>-5000</v>
      </c>
    </row>
    <row r="112" spans="1:4">
      <c r="A112" s="275" t="s">
        <v>51</v>
      </c>
      <c r="B112" s="275" t="s">
        <v>51</v>
      </c>
      <c r="C112" s="275" t="s">
        <v>315</v>
      </c>
      <c r="D112" s="276">
        <v>-5000</v>
      </c>
    </row>
    <row r="113" spans="1:4">
      <c r="A113" s="275" t="s">
        <v>51</v>
      </c>
      <c r="B113" s="275" t="s">
        <v>51</v>
      </c>
      <c r="C113" s="275" t="s">
        <v>316</v>
      </c>
      <c r="D113" s="276">
        <v>-5000</v>
      </c>
    </row>
    <row r="114" spans="1:4" ht="30">
      <c r="A114" s="275" t="s">
        <v>51</v>
      </c>
      <c r="B114" s="275" t="s">
        <v>49</v>
      </c>
      <c r="C114" s="275" t="s">
        <v>233</v>
      </c>
      <c r="D114" s="276">
        <v>67699.060500000007</v>
      </c>
    </row>
    <row r="115" spans="1:4">
      <c r="A115" s="275" t="s">
        <v>51</v>
      </c>
      <c r="B115" s="275" t="s">
        <v>51</v>
      </c>
      <c r="C115" s="275" t="s">
        <v>317</v>
      </c>
      <c r="D115" s="276">
        <v>23462.5</v>
      </c>
    </row>
    <row r="116" spans="1:4">
      <c r="A116" s="275" t="s">
        <v>51</v>
      </c>
      <c r="B116" s="275" t="s">
        <v>51</v>
      </c>
      <c r="C116" s="275" t="s">
        <v>318</v>
      </c>
      <c r="D116" s="276">
        <v>9385</v>
      </c>
    </row>
    <row r="117" spans="1:4">
      <c r="A117" s="275" t="s">
        <v>51</v>
      </c>
      <c r="B117" s="275" t="s">
        <v>110</v>
      </c>
      <c r="C117" s="275" t="s">
        <v>319</v>
      </c>
      <c r="D117" s="276">
        <v>-700</v>
      </c>
    </row>
    <row r="118" spans="1:4">
      <c r="A118" s="275" t="s">
        <v>51</v>
      </c>
      <c r="B118" s="275" t="s">
        <v>51</v>
      </c>
      <c r="C118" s="275" t="s">
        <v>320</v>
      </c>
      <c r="D118" s="276">
        <v>-84</v>
      </c>
    </row>
    <row r="119" spans="1:4">
      <c r="A119" s="275" t="s">
        <v>51</v>
      </c>
      <c r="B119" s="275" t="s">
        <v>83</v>
      </c>
      <c r="C119" s="275" t="s">
        <v>235</v>
      </c>
      <c r="D119" s="276">
        <v>23.410000000000004</v>
      </c>
    </row>
    <row r="120" spans="1:4">
      <c r="A120" s="275" t="s">
        <v>51</v>
      </c>
      <c r="B120" s="275" t="s">
        <v>79</v>
      </c>
      <c r="C120" s="275" t="s">
        <v>321</v>
      </c>
      <c r="D120" s="276">
        <v>-2500</v>
      </c>
    </row>
    <row r="121" spans="1:4">
      <c r="A121" s="275" t="s">
        <v>51</v>
      </c>
      <c r="B121" s="275" t="s">
        <v>51</v>
      </c>
      <c r="C121" s="275" t="s">
        <v>322</v>
      </c>
      <c r="D121" s="276">
        <v>-2000</v>
      </c>
    </row>
    <row r="122" spans="1:4" ht="45">
      <c r="A122" s="275" t="s">
        <v>51</v>
      </c>
      <c r="B122" s="275" t="s">
        <v>51</v>
      </c>
      <c r="C122" s="275" t="s">
        <v>323</v>
      </c>
      <c r="D122" s="276">
        <v>-1858.67</v>
      </c>
    </row>
    <row r="123" spans="1:4">
      <c r="A123" s="275" t="s">
        <v>51</v>
      </c>
      <c r="B123" s="275" t="s">
        <v>51</v>
      </c>
      <c r="C123" s="275" t="s">
        <v>324</v>
      </c>
      <c r="D123" s="276">
        <v>-2249.92</v>
      </c>
    </row>
    <row r="124" spans="1:4">
      <c r="A124" s="275" t="s">
        <v>51</v>
      </c>
      <c r="B124" s="275" t="s">
        <v>125</v>
      </c>
      <c r="C124" s="275" t="s">
        <v>325</v>
      </c>
      <c r="D124" s="276">
        <v>-7290.89</v>
      </c>
    </row>
    <row r="125" spans="1:4" ht="30">
      <c r="A125" s="275" t="s">
        <v>51</v>
      </c>
      <c r="B125" s="275" t="s">
        <v>65</v>
      </c>
      <c r="C125" s="275" t="s">
        <v>326</v>
      </c>
      <c r="D125" s="276">
        <v>-41.06</v>
      </c>
    </row>
    <row r="126" spans="1:4">
      <c r="A126" s="275" t="s">
        <v>51</v>
      </c>
      <c r="B126" s="275" t="s">
        <v>51</v>
      </c>
      <c r="C126" s="275" t="s">
        <v>327</v>
      </c>
      <c r="D126" s="276">
        <v>-40.1</v>
      </c>
    </row>
    <row r="127" spans="1:4">
      <c r="A127" s="275"/>
      <c r="B127" s="275"/>
      <c r="C127" s="269" t="s">
        <v>237</v>
      </c>
      <c r="D127" s="270">
        <f>SUM(D119,D116,D115,D114)</f>
        <v>100569.97050000001</v>
      </c>
    </row>
    <row r="128" spans="1:4">
      <c r="A128" s="275"/>
      <c r="B128" s="275"/>
      <c r="C128" s="271" t="s">
        <v>238</v>
      </c>
      <c r="D128" s="272">
        <f>SUM(D120:D126,D117:D118,D54:D113)</f>
        <v>-83389.140000000014</v>
      </c>
    </row>
    <row r="129" spans="1:4">
      <c r="A129" s="275"/>
      <c r="B129" s="275"/>
      <c r="C129" s="302" t="s">
        <v>239</v>
      </c>
      <c r="D129" s="303">
        <f>D127+D128</f>
        <v>17180.830499999996</v>
      </c>
    </row>
    <row r="130" spans="1:4">
      <c r="A130" s="304" t="s">
        <v>164</v>
      </c>
      <c r="B130" s="304" t="s">
        <v>51</v>
      </c>
      <c r="C130" s="304" t="s">
        <v>51</v>
      </c>
      <c r="D130" s="305">
        <v>33447.629999999997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1E1EB-B801-45BC-97EE-3B35842E0BFE}">
  <sheetPr>
    <tabColor rgb="FF00B050"/>
  </sheetPr>
  <dimension ref="A1:D128"/>
  <sheetViews>
    <sheetView topLeftCell="A97" workbookViewId="0">
      <selection activeCell="C136" sqref="C136"/>
    </sheetView>
  </sheetViews>
  <sheetFormatPr baseColWidth="10" defaultColWidth="53.5" defaultRowHeight="15"/>
  <cols>
    <col min="1" max="1" width="31.33203125" bestFit="1" customWidth="1"/>
    <col min="2" max="2" width="44.83203125" bestFit="1" customWidth="1"/>
    <col min="3" max="3" width="53.33203125" bestFit="1" customWidth="1"/>
    <col min="4" max="4" width="23.83203125" bestFit="1" customWidth="1"/>
  </cols>
  <sheetData>
    <row r="1" spans="1:4">
      <c r="A1" s="221" t="s">
        <v>44</v>
      </c>
      <c r="B1" s="221" t="s">
        <v>45</v>
      </c>
      <c r="C1" s="221" t="s">
        <v>213</v>
      </c>
      <c r="D1" s="222" t="s">
        <v>47</v>
      </c>
    </row>
    <row r="2" spans="1:4">
      <c r="A2" s="311" t="s">
        <v>154</v>
      </c>
      <c r="B2" s="311" t="s">
        <v>121</v>
      </c>
      <c r="C2" s="311" t="s">
        <v>214</v>
      </c>
      <c r="D2" s="312">
        <v>-2270.73</v>
      </c>
    </row>
    <row r="3" spans="1:4">
      <c r="A3" s="311" t="s">
        <v>51</v>
      </c>
      <c r="B3" s="311" t="s">
        <v>106</v>
      </c>
      <c r="C3" s="311" t="s">
        <v>328</v>
      </c>
      <c r="D3" s="312">
        <v>-293.16000000000003</v>
      </c>
    </row>
    <row r="4" spans="1:4">
      <c r="A4" s="311" t="s">
        <v>51</v>
      </c>
      <c r="B4" s="311" t="s">
        <v>51</v>
      </c>
      <c r="C4" s="311" t="s">
        <v>329</v>
      </c>
      <c r="D4" s="312">
        <v>-112.08</v>
      </c>
    </row>
    <row r="5" spans="1:4">
      <c r="A5" s="311" t="s">
        <v>51</v>
      </c>
      <c r="B5" s="311" t="s">
        <v>51</v>
      </c>
      <c r="C5" s="311" t="s">
        <v>330</v>
      </c>
      <c r="D5" s="312">
        <v>-152.84</v>
      </c>
    </row>
    <row r="6" spans="1:4">
      <c r="A6" s="311" t="s">
        <v>51</v>
      </c>
      <c r="B6" s="311" t="s">
        <v>51</v>
      </c>
      <c r="C6" s="311" t="s">
        <v>331</v>
      </c>
      <c r="D6" s="312">
        <v>-57.67</v>
      </c>
    </row>
    <row r="7" spans="1:4">
      <c r="A7" s="311" t="s">
        <v>51</v>
      </c>
      <c r="B7" s="311" t="s">
        <v>51</v>
      </c>
      <c r="C7" s="311" t="s">
        <v>332</v>
      </c>
      <c r="D7" s="312">
        <v>-69.89</v>
      </c>
    </row>
    <row r="8" spans="1:4">
      <c r="A8" s="311" t="s">
        <v>51</v>
      </c>
      <c r="B8" s="311" t="s">
        <v>51</v>
      </c>
      <c r="C8" s="311" t="s">
        <v>333</v>
      </c>
      <c r="D8" s="312">
        <v>-227.16</v>
      </c>
    </row>
    <row r="9" spans="1:4">
      <c r="A9" s="311" t="s">
        <v>51</v>
      </c>
      <c r="B9" s="311" t="s">
        <v>55</v>
      </c>
      <c r="C9" s="311" t="s">
        <v>221</v>
      </c>
      <c r="D9" s="312">
        <v>-10.08</v>
      </c>
    </row>
    <row r="10" spans="1:4">
      <c r="A10" s="311" t="s">
        <v>51</v>
      </c>
      <c r="B10" s="311" t="s">
        <v>51</v>
      </c>
      <c r="C10" s="311" t="s">
        <v>222</v>
      </c>
      <c r="D10" s="312">
        <v>-44.22</v>
      </c>
    </row>
    <row r="11" spans="1:4">
      <c r="A11" s="311" t="s">
        <v>51</v>
      </c>
      <c r="B11" s="311" t="s">
        <v>51</v>
      </c>
      <c r="C11" s="311" t="s">
        <v>223</v>
      </c>
      <c r="D11" s="312">
        <v>-4.1399999999999997</v>
      </c>
    </row>
    <row r="12" spans="1:4">
      <c r="A12" s="311" t="s">
        <v>51</v>
      </c>
      <c r="B12" s="311" t="s">
        <v>119</v>
      </c>
      <c r="C12" s="311" t="s">
        <v>224</v>
      </c>
      <c r="D12" s="312">
        <v>-370.45</v>
      </c>
    </row>
    <row r="13" spans="1:4">
      <c r="A13" s="311" t="s">
        <v>51</v>
      </c>
      <c r="B13" s="311" t="s">
        <v>126</v>
      </c>
      <c r="C13" s="311" t="s">
        <v>226</v>
      </c>
      <c r="D13" s="312">
        <v>-100.58</v>
      </c>
    </row>
    <row r="14" spans="1:4">
      <c r="A14" s="311" t="s">
        <v>51</v>
      </c>
      <c r="B14" s="311" t="s">
        <v>115</v>
      </c>
      <c r="C14" s="311" t="s">
        <v>334</v>
      </c>
      <c r="D14" s="312">
        <v>-180</v>
      </c>
    </row>
    <row r="15" spans="1:4" ht="30">
      <c r="A15" s="311" t="s">
        <v>51</v>
      </c>
      <c r="B15" s="311" t="s">
        <v>160</v>
      </c>
      <c r="C15" s="311" t="s">
        <v>227</v>
      </c>
      <c r="D15" s="312">
        <v>-477.38</v>
      </c>
    </row>
    <row r="16" spans="1:4">
      <c r="A16" s="311" t="s">
        <v>51</v>
      </c>
      <c r="B16" s="311" t="s">
        <v>51</v>
      </c>
      <c r="C16" s="311" t="s">
        <v>335</v>
      </c>
      <c r="D16" s="312">
        <v>-2352.15</v>
      </c>
    </row>
    <row r="17" spans="1:4">
      <c r="A17" s="311" t="s">
        <v>51</v>
      </c>
      <c r="B17" s="311" t="s">
        <v>143</v>
      </c>
      <c r="C17" s="311" t="s">
        <v>336</v>
      </c>
      <c r="D17" s="312">
        <v>-4000</v>
      </c>
    </row>
    <row r="18" spans="1:4">
      <c r="A18" s="311" t="s">
        <v>51</v>
      </c>
      <c r="B18" s="311" t="s">
        <v>51</v>
      </c>
      <c r="C18" s="311" t="s">
        <v>231</v>
      </c>
      <c r="D18" s="312">
        <v>-4000</v>
      </c>
    </row>
    <row r="19" spans="1:4">
      <c r="A19" s="311" t="s">
        <v>51</v>
      </c>
      <c r="B19" s="311" t="s">
        <v>49</v>
      </c>
      <c r="C19" s="311" t="s">
        <v>232</v>
      </c>
      <c r="D19" s="312">
        <v>221.09960000000001</v>
      </c>
    </row>
    <row r="20" spans="1:4">
      <c r="A20" s="311" t="s">
        <v>51</v>
      </c>
      <c r="B20" s="311" t="s">
        <v>51</v>
      </c>
      <c r="C20" s="311" t="s">
        <v>337</v>
      </c>
      <c r="D20" s="312">
        <v>4067.15</v>
      </c>
    </row>
    <row r="21" spans="1:4">
      <c r="A21" s="311" t="s">
        <v>51</v>
      </c>
      <c r="B21" s="311" t="s">
        <v>51</v>
      </c>
      <c r="C21" s="311" t="s">
        <v>338</v>
      </c>
      <c r="D21" s="312">
        <v>71.059799999999996</v>
      </c>
    </row>
    <row r="22" spans="1:4">
      <c r="A22" s="311" t="s">
        <v>51</v>
      </c>
      <c r="B22" s="311" t="s">
        <v>83</v>
      </c>
      <c r="C22" s="311" t="s">
        <v>235</v>
      </c>
      <c r="D22" s="312">
        <v>0.88000000000000012</v>
      </c>
    </row>
    <row r="23" spans="1:4">
      <c r="A23" s="311"/>
      <c r="B23" s="311"/>
      <c r="C23" s="319" t="s">
        <v>237</v>
      </c>
      <c r="D23" s="320">
        <f>D19+D20+D21+D22</f>
        <v>4360.1894000000002</v>
      </c>
    </row>
    <row r="24" spans="1:4">
      <c r="A24" s="311"/>
      <c r="B24" s="311"/>
      <c r="C24" s="315" t="s">
        <v>238</v>
      </c>
      <c r="D24" s="316">
        <f>D2+D3+D4+D5+D6+D7+D8+D9+D10+D11+D12+D13+D14+D15+D16+D17+D18</f>
        <v>-14722.529999999999</v>
      </c>
    </row>
    <row r="25" spans="1:4">
      <c r="A25" s="311"/>
      <c r="B25" s="311"/>
      <c r="C25" s="313" t="s">
        <v>239</v>
      </c>
      <c r="D25" s="314">
        <f>D23+D24</f>
        <v>-10362.3406</v>
      </c>
    </row>
    <row r="26" spans="1:4">
      <c r="A26" s="321" t="s">
        <v>34</v>
      </c>
      <c r="B26" s="321" t="s">
        <v>55</v>
      </c>
      <c r="C26" s="321" t="s">
        <v>243</v>
      </c>
      <c r="D26" s="322">
        <v>-153</v>
      </c>
    </row>
    <row r="27" spans="1:4">
      <c r="A27" s="321" t="s">
        <v>51</v>
      </c>
      <c r="B27" s="321" t="s">
        <v>51</v>
      </c>
      <c r="C27" s="321" t="s">
        <v>244</v>
      </c>
      <c r="D27" s="322">
        <v>-97.75</v>
      </c>
    </row>
    <row r="28" spans="1:4">
      <c r="A28" s="321" t="s">
        <v>51</v>
      </c>
      <c r="B28" s="321" t="s">
        <v>51</v>
      </c>
      <c r="C28" s="321" t="s">
        <v>245</v>
      </c>
      <c r="D28" s="322">
        <v>-580.38</v>
      </c>
    </row>
    <row r="29" spans="1:4">
      <c r="A29" s="321" t="s">
        <v>51</v>
      </c>
      <c r="B29" s="321" t="s">
        <v>51</v>
      </c>
      <c r="C29" s="321" t="s">
        <v>246</v>
      </c>
      <c r="D29" s="322">
        <v>-153</v>
      </c>
    </row>
    <row r="30" spans="1:4">
      <c r="A30" s="321" t="s">
        <v>51</v>
      </c>
      <c r="B30" s="321" t="s">
        <v>51</v>
      </c>
      <c r="C30" s="321" t="s">
        <v>210</v>
      </c>
      <c r="D30" s="322">
        <v>-141.6</v>
      </c>
    </row>
    <row r="31" spans="1:4" ht="30">
      <c r="A31" s="321" t="s">
        <v>51</v>
      </c>
      <c r="B31" s="321" t="s">
        <v>51</v>
      </c>
      <c r="C31" s="321" t="s">
        <v>339</v>
      </c>
      <c r="D31" s="322">
        <v>-1000</v>
      </c>
    </row>
    <row r="32" spans="1:4">
      <c r="A32" s="321" t="s">
        <v>51</v>
      </c>
      <c r="B32" s="321" t="s">
        <v>209</v>
      </c>
      <c r="C32" s="321" t="s">
        <v>340</v>
      </c>
      <c r="D32" s="322">
        <v>-2483.91</v>
      </c>
    </row>
    <row r="33" spans="1:4">
      <c r="A33" s="321" t="s">
        <v>51</v>
      </c>
      <c r="B33" s="321" t="s">
        <v>49</v>
      </c>
      <c r="C33" s="321" t="s">
        <v>341</v>
      </c>
      <c r="D33" s="322">
        <v>1730.28</v>
      </c>
    </row>
    <row r="34" spans="1:4">
      <c r="A34" s="321" t="s">
        <v>51</v>
      </c>
      <c r="B34" s="321" t="s">
        <v>51</v>
      </c>
      <c r="C34" s="321" t="s">
        <v>342</v>
      </c>
      <c r="D34" s="322">
        <v>1365.59</v>
      </c>
    </row>
    <row r="35" spans="1:4">
      <c r="A35" s="321" t="s">
        <v>51</v>
      </c>
      <c r="B35" s="321" t="s">
        <v>51</v>
      </c>
      <c r="C35" s="321" t="s">
        <v>343</v>
      </c>
      <c r="D35" s="322">
        <v>1350</v>
      </c>
    </row>
    <row r="36" spans="1:4">
      <c r="A36" s="321" t="s">
        <v>51</v>
      </c>
      <c r="B36" s="321" t="s">
        <v>79</v>
      </c>
      <c r="C36" s="321" t="s">
        <v>344</v>
      </c>
      <c r="D36" s="322">
        <v>-1162</v>
      </c>
    </row>
    <row r="37" spans="1:4">
      <c r="A37" s="321" t="s">
        <v>51</v>
      </c>
      <c r="B37" s="321" t="s">
        <v>76</v>
      </c>
      <c r="C37" s="321" t="s">
        <v>345</v>
      </c>
      <c r="D37" s="322">
        <v>-99</v>
      </c>
    </row>
    <row r="38" spans="1:4">
      <c r="A38" s="321"/>
      <c r="B38" s="321"/>
      <c r="C38" s="327" t="s">
        <v>237</v>
      </c>
      <c r="D38" s="328">
        <f>D33+D34+D35</f>
        <v>4445.87</v>
      </c>
    </row>
    <row r="39" spans="1:4">
      <c r="A39" s="321"/>
      <c r="B39" s="321"/>
      <c r="C39" s="323" t="s">
        <v>238</v>
      </c>
      <c r="D39" s="324">
        <f>D26+D27+D28+D29+D30+D31+D32+D36+D37</f>
        <v>-5870.6399999999994</v>
      </c>
    </row>
    <row r="40" spans="1:4">
      <c r="A40" s="321"/>
      <c r="B40" s="321"/>
      <c r="C40" s="325" t="s">
        <v>239</v>
      </c>
      <c r="D40" s="326">
        <f>D38+D39</f>
        <v>-1424.7699999999995</v>
      </c>
    </row>
    <row r="41" spans="1:4">
      <c r="A41" s="307" t="s">
        <v>35</v>
      </c>
      <c r="B41" s="307" t="s">
        <v>55</v>
      </c>
      <c r="C41" s="307" t="s">
        <v>258</v>
      </c>
      <c r="D41" s="308">
        <v>-1196.08</v>
      </c>
    </row>
    <row r="42" spans="1:4">
      <c r="A42" s="307" t="s">
        <v>51</v>
      </c>
      <c r="B42" s="307" t="s">
        <v>51</v>
      </c>
      <c r="C42" s="307" t="s">
        <v>346</v>
      </c>
      <c r="D42" s="308">
        <v>-2543.63</v>
      </c>
    </row>
    <row r="43" spans="1:4">
      <c r="A43" s="307" t="s">
        <v>51</v>
      </c>
      <c r="B43" s="307" t="s">
        <v>73</v>
      </c>
      <c r="C43" s="307" t="s">
        <v>338</v>
      </c>
      <c r="D43" s="308">
        <v>-279.40929999999997</v>
      </c>
    </row>
    <row r="44" spans="1:4">
      <c r="A44" s="307" t="s">
        <v>51</v>
      </c>
      <c r="B44" s="307" t="s">
        <v>49</v>
      </c>
      <c r="C44" s="307" t="s">
        <v>342</v>
      </c>
      <c r="D44" s="308">
        <v>5985</v>
      </c>
    </row>
    <row r="45" spans="1:4">
      <c r="A45" s="307" t="s">
        <v>51</v>
      </c>
      <c r="B45" s="307" t="s">
        <v>51</v>
      </c>
      <c r="C45" s="307" t="s">
        <v>338</v>
      </c>
      <c r="D45" s="308">
        <v>4472.3795</v>
      </c>
    </row>
    <row r="46" spans="1:4">
      <c r="A46" s="307"/>
      <c r="B46" s="307"/>
      <c r="C46" s="319" t="s">
        <v>237</v>
      </c>
      <c r="D46" s="320">
        <f>D44+D45</f>
        <v>10457.379499999999</v>
      </c>
    </row>
    <row r="47" spans="1:4">
      <c r="A47" s="307"/>
      <c r="B47" s="307"/>
      <c r="C47" s="317" t="s">
        <v>238</v>
      </c>
      <c r="D47" s="318">
        <f>D41+D42+D43</f>
        <v>-4019.1192999999998</v>
      </c>
    </row>
    <row r="48" spans="1:4">
      <c r="A48" s="307"/>
      <c r="B48" s="307"/>
      <c r="C48" s="309" t="s">
        <v>239</v>
      </c>
      <c r="D48" s="310">
        <f>D46+D47</f>
        <v>6438.2601999999988</v>
      </c>
    </row>
    <row r="49" spans="1:4">
      <c r="A49" s="321" t="s">
        <v>148</v>
      </c>
      <c r="B49" s="321" t="s">
        <v>55</v>
      </c>
      <c r="C49" s="321" t="s">
        <v>259</v>
      </c>
      <c r="D49" s="322">
        <v>-1242.1399999999999</v>
      </c>
    </row>
    <row r="50" spans="1:4">
      <c r="A50" s="321" t="s">
        <v>51</v>
      </c>
      <c r="B50" s="321" t="s">
        <v>87</v>
      </c>
      <c r="C50" s="321" t="s">
        <v>347</v>
      </c>
      <c r="D50" s="322">
        <v>-273.12</v>
      </c>
    </row>
    <row r="51" spans="1:4">
      <c r="A51" s="321" t="s">
        <v>51</v>
      </c>
      <c r="B51" s="321" t="s">
        <v>49</v>
      </c>
      <c r="C51" s="321" t="s">
        <v>232</v>
      </c>
      <c r="D51" s="322">
        <v>5024.3603999999996</v>
      </c>
    </row>
    <row r="52" spans="1:4">
      <c r="A52" s="321"/>
      <c r="B52" s="321"/>
      <c r="C52" s="327" t="s">
        <v>237</v>
      </c>
      <c r="D52" s="328">
        <f>D51</f>
        <v>5024.3603999999996</v>
      </c>
    </row>
    <row r="53" spans="1:4">
      <c r="A53" s="321"/>
      <c r="B53" s="321"/>
      <c r="C53" s="323" t="s">
        <v>238</v>
      </c>
      <c r="D53" s="324">
        <f>SUM(D49:D50)</f>
        <v>-1515.2599999999998</v>
      </c>
    </row>
    <row r="54" spans="1:4">
      <c r="A54" s="321"/>
      <c r="B54" s="321"/>
      <c r="C54" s="325" t="s">
        <v>239</v>
      </c>
      <c r="D54" s="326">
        <f>D52+D53</f>
        <v>3509.1003999999998</v>
      </c>
    </row>
    <row r="55" spans="1:4">
      <c r="A55" s="311" t="s">
        <v>81</v>
      </c>
      <c r="B55" s="311" t="s">
        <v>121</v>
      </c>
      <c r="C55" s="311" t="s">
        <v>262</v>
      </c>
      <c r="D55" s="312">
        <v>-2019.95</v>
      </c>
    </row>
    <row r="56" spans="1:4">
      <c r="A56" s="311" t="s">
        <v>51</v>
      </c>
      <c r="B56" s="311" t="s">
        <v>106</v>
      </c>
      <c r="C56" s="311" t="s">
        <v>348</v>
      </c>
      <c r="D56" s="312">
        <v>-399.89</v>
      </c>
    </row>
    <row r="57" spans="1:4">
      <c r="A57" s="311" t="s">
        <v>51</v>
      </c>
      <c r="B57" s="311" t="s">
        <v>51</v>
      </c>
      <c r="C57" s="311" t="s">
        <v>349</v>
      </c>
      <c r="D57" s="312">
        <v>-54.08</v>
      </c>
    </row>
    <row r="58" spans="1:4">
      <c r="A58" s="311" t="s">
        <v>51</v>
      </c>
      <c r="B58" s="311" t="s">
        <v>55</v>
      </c>
      <c r="C58" s="311" t="s">
        <v>269</v>
      </c>
      <c r="D58" s="312">
        <v>-12552.56</v>
      </c>
    </row>
    <row r="59" spans="1:4" ht="30">
      <c r="A59" s="311" t="s">
        <v>51</v>
      </c>
      <c r="B59" s="311" t="s">
        <v>51</v>
      </c>
      <c r="C59" s="311" t="s">
        <v>350</v>
      </c>
      <c r="D59" s="312">
        <v>-500</v>
      </c>
    </row>
    <row r="60" spans="1:4" ht="30">
      <c r="A60" s="311" t="s">
        <v>51</v>
      </c>
      <c r="B60" s="311" t="s">
        <v>51</v>
      </c>
      <c r="C60" s="311" t="s">
        <v>351</v>
      </c>
      <c r="D60" s="312">
        <v>-600</v>
      </c>
    </row>
    <row r="61" spans="1:4" ht="30">
      <c r="A61" s="311" t="s">
        <v>51</v>
      </c>
      <c r="B61" s="311" t="s">
        <v>51</v>
      </c>
      <c r="C61" s="311" t="s">
        <v>352</v>
      </c>
      <c r="D61" s="312">
        <v>-400</v>
      </c>
    </row>
    <row r="62" spans="1:4">
      <c r="A62" s="311" t="s">
        <v>51</v>
      </c>
      <c r="B62" s="311" t="s">
        <v>51</v>
      </c>
      <c r="C62" s="311" t="s">
        <v>272</v>
      </c>
      <c r="D62" s="312">
        <v>-500</v>
      </c>
    </row>
    <row r="63" spans="1:4">
      <c r="A63" s="311" t="s">
        <v>51</v>
      </c>
      <c r="B63" s="311" t="s">
        <v>123</v>
      </c>
      <c r="C63" s="311" t="s">
        <v>353</v>
      </c>
      <c r="D63" s="312">
        <v>-21.32</v>
      </c>
    </row>
    <row r="64" spans="1:4" ht="30">
      <c r="A64" s="311" t="s">
        <v>51</v>
      </c>
      <c r="B64" s="311" t="s">
        <v>51</v>
      </c>
      <c r="C64" s="311" t="s">
        <v>354</v>
      </c>
      <c r="D64" s="312">
        <v>-444.57</v>
      </c>
    </row>
    <row r="65" spans="1:4">
      <c r="A65" s="311" t="s">
        <v>51</v>
      </c>
      <c r="B65" s="311" t="s">
        <v>51</v>
      </c>
      <c r="C65" s="311" t="s">
        <v>355</v>
      </c>
      <c r="D65" s="312">
        <v>-600</v>
      </c>
    </row>
    <row r="66" spans="1:4" ht="30">
      <c r="A66" s="311" t="s">
        <v>51</v>
      </c>
      <c r="B66" s="311" t="s">
        <v>51</v>
      </c>
      <c r="C66" s="311" t="s">
        <v>356</v>
      </c>
      <c r="D66" s="312">
        <v>-1300.5999999999999</v>
      </c>
    </row>
    <row r="67" spans="1:4">
      <c r="A67" s="311" t="s">
        <v>51</v>
      </c>
      <c r="B67" s="311" t="s">
        <v>51</v>
      </c>
      <c r="C67" s="311" t="s">
        <v>357</v>
      </c>
      <c r="D67" s="312">
        <v>-500</v>
      </c>
    </row>
    <row r="68" spans="1:4">
      <c r="A68" s="311" t="s">
        <v>51</v>
      </c>
      <c r="B68" s="311" t="s">
        <v>51</v>
      </c>
      <c r="C68" s="311" t="s">
        <v>358</v>
      </c>
      <c r="D68" s="312">
        <v>-1189.26</v>
      </c>
    </row>
    <row r="69" spans="1:4">
      <c r="A69" s="311" t="s">
        <v>51</v>
      </c>
      <c r="B69" s="311" t="s">
        <v>104</v>
      </c>
      <c r="C69" s="311" t="s">
        <v>278</v>
      </c>
      <c r="D69" s="312">
        <v>-412.19</v>
      </c>
    </row>
    <row r="70" spans="1:4">
      <c r="A70" s="311" t="s">
        <v>51</v>
      </c>
      <c r="B70" s="311" t="s">
        <v>141</v>
      </c>
      <c r="C70" s="311" t="s">
        <v>359</v>
      </c>
      <c r="D70" s="312">
        <v>-509.55</v>
      </c>
    </row>
    <row r="71" spans="1:4" ht="30">
      <c r="A71" s="311" t="s">
        <v>51</v>
      </c>
      <c r="B71" s="311" t="s">
        <v>51</v>
      </c>
      <c r="C71" s="311" t="s">
        <v>360</v>
      </c>
      <c r="D71" s="312">
        <v>-626.37</v>
      </c>
    </row>
    <row r="72" spans="1:4">
      <c r="A72" s="311" t="s">
        <v>51</v>
      </c>
      <c r="B72" s="311" t="s">
        <v>74</v>
      </c>
      <c r="C72" s="311" t="s">
        <v>361</v>
      </c>
      <c r="D72" s="312">
        <v>-3000</v>
      </c>
    </row>
    <row r="73" spans="1:4">
      <c r="A73" s="311" t="s">
        <v>51</v>
      </c>
      <c r="B73" s="311" t="s">
        <v>51</v>
      </c>
      <c r="C73" s="311" t="s">
        <v>281</v>
      </c>
      <c r="D73" s="312">
        <v>-461.62</v>
      </c>
    </row>
    <row r="74" spans="1:4">
      <c r="A74" s="311" t="s">
        <v>51</v>
      </c>
      <c r="B74" s="311" t="s">
        <v>51</v>
      </c>
      <c r="C74" s="311" t="s">
        <v>362</v>
      </c>
      <c r="D74" s="312">
        <v>-196.19</v>
      </c>
    </row>
    <row r="75" spans="1:4" ht="30">
      <c r="A75" s="311" t="s">
        <v>51</v>
      </c>
      <c r="B75" s="311" t="s">
        <v>51</v>
      </c>
      <c r="C75" s="311" t="s">
        <v>283</v>
      </c>
      <c r="D75" s="312">
        <v>-249.75</v>
      </c>
    </row>
    <row r="76" spans="1:4">
      <c r="A76" s="311" t="s">
        <v>51</v>
      </c>
      <c r="B76" s="311" t="s">
        <v>119</v>
      </c>
      <c r="C76" s="311" t="s">
        <v>119</v>
      </c>
      <c r="D76" s="312">
        <v>-413.24</v>
      </c>
    </row>
    <row r="77" spans="1:4">
      <c r="A77" s="311" t="s">
        <v>51</v>
      </c>
      <c r="B77" s="311" t="s">
        <v>85</v>
      </c>
      <c r="C77" s="311" t="s">
        <v>285</v>
      </c>
      <c r="D77" s="312">
        <v>-63.91</v>
      </c>
    </row>
    <row r="78" spans="1:4">
      <c r="A78" s="311" t="s">
        <v>51</v>
      </c>
      <c r="B78" s="311" t="s">
        <v>90</v>
      </c>
      <c r="C78" s="311" t="s">
        <v>363</v>
      </c>
      <c r="D78" s="312">
        <v>-108.61</v>
      </c>
    </row>
    <row r="79" spans="1:4">
      <c r="A79" s="311" t="s">
        <v>51</v>
      </c>
      <c r="B79" s="311" t="s">
        <v>51</v>
      </c>
      <c r="C79" s="311" t="s">
        <v>288</v>
      </c>
      <c r="D79" s="312">
        <v>-376.62</v>
      </c>
    </row>
    <row r="80" spans="1:4">
      <c r="A80" s="311" t="s">
        <v>51</v>
      </c>
      <c r="B80" s="311" t="s">
        <v>51</v>
      </c>
      <c r="C80" s="311" t="s">
        <v>364</v>
      </c>
      <c r="D80" s="312">
        <v>-11.24</v>
      </c>
    </row>
    <row r="81" spans="1:4" ht="30">
      <c r="A81" s="311" t="s">
        <v>51</v>
      </c>
      <c r="B81" s="311" t="s">
        <v>51</v>
      </c>
      <c r="C81" s="311" t="s">
        <v>365</v>
      </c>
      <c r="D81" s="312">
        <v>-160</v>
      </c>
    </row>
    <row r="82" spans="1:4">
      <c r="A82" s="311" t="s">
        <v>51</v>
      </c>
      <c r="B82" s="311" t="s">
        <v>87</v>
      </c>
      <c r="C82" s="311" t="s">
        <v>289</v>
      </c>
      <c r="D82" s="312">
        <v>-40</v>
      </c>
    </row>
    <row r="83" spans="1:4">
      <c r="A83" s="311" t="s">
        <v>51</v>
      </c>
      <c r="B83" s="311" t="s">
        <v>51</v>
      </c>
      <c r="C83" s="311" t="s">
        <v>290</v>
      </c>
      <c r="D83" s="312">
        <v>-150</v>
      </c>
    </row>
    <row r="84" spans="1:4">
      <c r="A84" s="311" t="s">
        <v>51</v>
      </c>
      <c r="B84" s="311" t="s">
        <v>113</v>
      </c>
      <c r="C84" s="311" t="s">
        <v>292</v>
      </c>
      <c r="D84" s="312">
        <v>-200</v>
      </c>
    </row>
    <row r="85" spans="1:4">
      <c r="A85" s="311" t="s">
        <v>51</v>
      </c>
      <c r="B85" s="311" t="s">
        <v>73</v>
      </c>
      <c r="C85" s="311" t="s">
        <v>337</v>
      </c>
      <c r="D85" s="312">
        <v>-4709.87</v>
      </c>
    </row>
    <row r="86" spans="1:4">
      <c r="A86" s="311" t="s">
        <v>51</v>
      </c>
      <c r="B86" s="311" t="s">
        <v>92</v>
      </c>
      <c r="C86" s="311" t="s">
        <v>294</v>
      </c>
      <c r="D86" s="312">
        <v>-378.16</v>
      </c>
    </row>
    <row r="87" spans="1:4">
      <c r="A87" s="311" t="s">
        <v>51</v>
      </c>
      <c r="B87" s="311" t="s">
        <v>126</v>
      </c>
      <c r="C87" s="311" t="s">
        <v>366</v>
      </c>
      <c r="D87" s="312">
        <v>-24.24</v>
      </c>
    </row>
    <row r="88" spans="1:4">
      <c r="A88" s="311" t="s">
        <v>51</v>
      </c>
      <c r="B88" s="311" t="s">
        <v>51</v>
      </c>
      <c r="C88" s="311" t="s">
        <v>367</v>
      </c>
      <c r="D88" s="312">
        <v>-247.92</v>
      </c>
    </row>
    <row r="89" spans="1:4">
      <c r="A89" s="311" t="s">
        <v>51</v>
      </c>
      <c r="B89" s="311" t="s">
        <v>51</v>
      </c>
      <c r="C89" s="311" t="s">
        <v>298</v>
      </c>
      <c r="D89" s="312">
        <v>-50</v>
      </c>
    </row>
    <row r="90" spans="1:4">
      <c r="A90" s="311" t="s">
        <v>51</v>
      </c>
      <c r="B90" s="311" t="s">
        <v>51</v>
      </c>
      <c r="C90" s="311" t="s">
        <v>299</v>
      </c>
      <c r="D90" s="312">
        <v>-99.9</v>
      </c>
    </row>
    <row r="91" spans="1:4">
      <c r="A91" s="311" t="s">
        <v>51</v>
      </c>
      <c r="B91" s="311" t="s">
        <v>51</v>
      </c>
      <c r="C91" s="311" t="s">
        <v>300</v>
      </c>
      <c r="D91" s="312">
        <v>-233.07</v>
      </c>
    </row>
    <row r="92" spans="1:4">
      <c r="A92" s="311" t="s">
        <v>51</v>
      </c>
      <c r="B92" s="311" t="s">
        <v>51</v>
      </c>
      <c r="C92" s="311" t="s">
        <v>368</v>
      </c>
      <c r="D92" s="312">
        <v>-607</v>
      </c>
    </row>
    <row r="93" spans="1:4">
      <c r="A93" s="311" t="s">
        <v>51</v>
      </c>
      <c r="B93" s="311" t="s">
        <v>51</v>
      </c>
      <c r="C93" s="311" t="s">
        <v>302</v>
      </c>
      <c r="D93" s="312">
        <v>-38</v>
      </c>
    </row>
    <row r="94" spans="1:4">
      <c r="A94" s="311" t="s">
        <v>51</v>
      </c>
      <c r="B94" s="311" t="s">
        <v>145</v>
      </c>
      <c r="C94" s="311" t="s">
        <v>369</v>
      </c>
      <c r="D94" s="312">
        <v>-26370.68</v>
      </c>
    </row>
    <row r="95" spans="1:4">
      <c r="A95" s="311" t="s">
        <v>51</v>
      </c>
      <c r="B95" s="311" t="s">
        <v>139</v>
      </c>
      <c r="C95" s="311" t="s">
        <v>139</v>
      </c>
      <c r="D95" s="312">
        <v>-3524.65</v>
      </c>
    </row>
    <row r="96" spans="1:4">
      <c r="A96" s="311" t="s">
        <v>51</v>
      </c>
      <c r="B96" s="311" t="s">
        <v>136</v>
      </c>
      <c r="C96" s="311" t="s">
        <v>370</v>
      </c>
      <c r="D96" s="312">
        <v>-691.68000000000006</v>
      </c>
    </row>
    <row r="97" spans="1:4" ht="30">
      <c r="A97" s="311" t="s">
        <v>51</v>
      </c>
      <c r="B97" s="311" t="s">
        <v>51</v>
      </c>
      <c r="C97" s="311" t="s">
        <v>371</v>
      </c>
      <c r="D97" s="312">
        <v>-900</v>
      </c>
    </row>
    <row r="98" spans="1:4">
      <c r="A98" s="311" t="s">
        <v>51</v>
      </c>
      <c r="B98" s="311" t="s">
        <v>51</v>
      </c>
      <c r="C98" s="311" t="s">
        <v>138</v>
      </c>
      <c r="D98" s="312">
        <v>-2938.88</v>
      </c>
    </row>
    <row r="99" spans="1:4">
      <c r="A99" s="311" t="s">
        <v>51</v>
      </c>
      <c r="B99" s="311" t="s">
        <v>51</v>
      </c>
      <c r="C99" s="311" t="s">
        <v>372</v>
      </c>
      <c r="D99" s="312">
        <v>-415.47</v>
      </c>
    </row>
    <row r="100" spans="1:4">
      <c r="A100" s="311" t="s">
        <v>51</v>
      </c>
      <c r="B100" s="311" t="s">
        <v>51</v>
      </c>
      <c r="C100" s="311" t="s">
        <v>307</v>
      </c>
      <c r="D100" s="312">
        <v>-2700</v>
      </c>
    </row>
    <row r="101" spans="1:4">
      <c r="A101" s="311" t="s">
        <v>51</v>
      </c>
      <c r="B101" s="311" t="s">
        <v>115</v>
      </c>
      <c r="C101" s="311" t="s">
        <v>309</v>
      </c>
      <c r="D101" s="312">
        <v>-683.33</v>
      </c>
    </row>
    <row r="102" spans="1:4">
      <c r="A102" s="311" t="s">
        <v>51</v>
      </c>
      <c r="B102" s="311" t="s">
        <v>102</v>
      </c>
      <c r="C102" s="311" t="s">
        <v>373</v>
      </c>
      <c r="D102" s="312">
        <v>-203.3</v>
      </c>
    </row>
    <row r="103" spans="1:4">
      <c r="A103" s="311" t="s">
        <v>51</v>
      </c>
      <c r="B103" s="311" t="s">
        <v>51</v>
      </c>
      <c r="C103" s="311" t="s">
        <v>374</v>
      </c>
      <c r="D103" s="312">
        <v>-78.7</v>
      </c>
    </row>
    <row r="104" spans="1:4">
      <c r="A104" s="311" t="s">
        <v>51</v>
      </c>
      <c r="B104" s="311" t="s">
        <v>51</v>
      </c>
      <c r="C104" s="311" t="s">
        <v>375</v>
      </c>
      <c r="D104" s="312">
        <v>-219.12</v>
      </c>
    </row>
    <row r="105" spans="1:4">
      <c r="A105" s="311" t="s">
        <v>51</v>
      </c>
      <c r="B105" s="311" t="s">
        <v>51</v>
      </c>
      <c r="C105" s="311" t="s">
        <v>376</v>
      </c>
      <c r="D105" s="312">
        <v>-39.93</v>
      </c>
    </row>
    <row r="106" spans="1:4" ht="30">
      <c r="A106" s="311" t="s">
        <v>51</v>
      </c>
      <c r="B106" s="311" t="s">
        <v>160</v>
      </c>
      <c r="C106" s="311" t="s">
        <v>377</v>
      </c>
      <c r="D106" s="312">
        <v>-183</v>
      </c>
    </row>
    <row r="107" spans="1:4">
      <c r="A107" s="311" t="s">
        <v>51</v>
      </c>
      <c r="B107" s="311" t="s">
        <v>94</v>
      </c>
      <c r="C107" s="311" t="s">
        <v>378</v>
      </c>
      <c r="D107" s="312">
        <v>-282.44</v>
      </c>
    </row>
    <row r="108" spans="1:4">
      <c r="A108" s="311" t="s">
        <v>51</v>
      </c>
      <c r="B108" s="311" t="s">
        <v>51</v>
      </c>
      <c r="C108" s="311" t="s">
        <v>333</v>
      </c>
      <c r="D108" s="312">
        <v>-227.16</v>
      </c>
    </row>
    <row r="109" spans="1:4">
      <c r="A109" s="311" t="s">
        <v>51</v>
      </c>
      <c r="B109" s="311" t="s">
        <v>117</v>
      </c>
      <c r="C109" s="311" t="s">
        <v>313</v>
      </c>
      <c r="D109" s="312">
        <v>-1000</v>
      </c>
    </row>
    <row r="110" spans="1:4">
      <c r="A110" s="311" t="s">
        <v>51</v>
      </c>
      <c r="B110" s="311" t="s">
        <v>143</v>
      </c>
      <c r="C110" s="311" t="s">
        <v>314</v>
      </c>
      <c r="D110" s="312">
        <v>-5000</v>
      </c>
    </row>
    <row r="111" spans="1:4">
      <c r="A111" s="311" t="s">
        <v>51</v>
      </c>
      <c r="B111" s="311" t="s">
        <v>51</v>
      </c>
      <c r="C111" s="311" t="s">
        <v>315</v>
      </c>
      <c r="D111" s="312">
        <v>-5000</v>
      </c>
    </row>
    <row r="112" spans="1:4" ht="30">
      <c r="A112" s="311" t="s">
        <v>51</v>
      </c>
      <c r="B112" s="311" t="s">
        <v>51</v>
      </c>
      <c r="C112" s="311" t="s">
        <v>379</v>
      </c>
      <c r="D112" s="312">
        <v>-4460.0600000000004</v>
      </c>
    </row>
    <row r="113" spans="1:4" ht="30">
      <c r="A113" s="311" t="s">
        <v>51</v>
      </c>
      <c r="B113" s="311" t="s">
        <v>49</v>
      </c>
      <c r="C113" s="311" t="s">
        <v>380</v>
      </c>
      <c r="D113" s="312">
        <v>539.94000000000005</v>
      </c>
    </row>
    <row r="114" spans="1:4">
      <c r="A114" s="311" t="s">
        <v>51</v>
      </c>
      <c r="B114" s="311" t="s">
        <v>51</v>
      </c>
      <c r="C114" s="311" t="s">
        <v>337</v>
      </c>
      <c r="D114" s="312">
        <v>72516.17</v>
      </c>
    </row>
    <row r="115" spans="1:4">
      <c r="A115" s="311" t="s">
        <v>51</v>
      </c>
      <c r="B115" s="311" t="s">
        <v>110</v>
      </c>
      <c r="C115" s="311" t="s">
        <v>381</v>
      </c>
      <c r="D115" s="312">
        <v>-490</v>
      </c>
    </row>
    <row r="116" spans="1:4">
      <c r="A116" s="311" t="s">
        <v>51</v>
      </c>
      <c r="B116" s="311" t="s">
        <v>51</v>
      </c>
      <c r="C116" s="311" t="s">
        <v>320</v>
      </c>
      <c r="D116" s="312">
        <v>-85.76</v>
      </c>
    </row>
    <row r="117" spans="1:4">
      <c r="A117" s="311" t="s">
        <v>51</v>
      </c>
      <c r="B117" s="311" t="s">
        <v>83</v>
      </c>
      <c r="C117" s="311" t="s">
        <v>235</v>
      </c>
      <c r="D117" s="312">
        <v>15.620000000000001</v>
      </c>
    </row>
    <row r="118" spans="1:4">
      <c r="A118" s="311" t="s">
        <v>51</v>
      </c>
      <c r="B118" s="311" t="s">
        <v>382</v>
      </c>
      <c r="C118" s="311" t="s">
        <v>383</v>
      </c>
      <c r="D118" s="312">
        <v>-577.78</v>
      </c>
    </row>
    <row r="119" spans="1:4">
      <c r="A119" s="311" t="s">
        <v>51</v>
      </c>
      <c r="B119" s="311" t="s">
        <v>79</v>
      </c>
      <c r="C119" s="311" t="s">
        <v>321</v>
      </c>
      <c r="D119" s="312">
        <v>-2500</v>
      </c>
    </row>
    <row r="120" spans="1:4">
      <c r="A120" s="311" t="s">
        <v>51</v>
      </c>
      <c r="B120" s="311" t="s">
        <v>51</v>
      </c>
      <c r="C120" s="311" t="s">
        <v>273</v>
      </c>
      <c r="D120" s="312">
        <v>-1842.77</v>
      </c>
    </row>
    <row r="121" spans="1:4">
      <c r="A121" s="311" t="s">
        <v>51</v>
      </c>
      <c r="B121" s="311" t="s">
        <v>51</v>
      </c>
      <c r="C121" s="311" t="s">
        <v>322</v>
      </c>
      <c r="D121" s="312">
        <v>-1999.99</v>
      </c>
    </row>
    <row r="122" spans="1:4">
      <c r="A122" s="311" t="s">
        <v>51</v>
      </c>
      <c r="B122" s="311" t="s">
        <v>51</v>
      </c>
      <c r="C122" s="311" t="s">
        <v>384</v>
      </c>
      <c r="D122" s="312">
        <v>-1137.03</v>
      </c>
    </row>
    <row r="123" spans="1:4">
      <c r="A123" s="311" t="s">
        <v>51</v>
      </c>
      <c r="B123" s="311" t="s">
        <v>125</v>
      </c>
      <c r="C123" s="311" t="s">
        <v>325</v>
      </c>
      <c r="D123" s="312">
        <v>-5553.82</v>
      </c>
    </row>
    <row r="124" spans="1:4">
      <c r="A124" s="311" t="s">
        <v>51</v>
      </c>
      <c r="B124" s="311" t="s">
        <v>65</v>
      </c>
      <c r="C124" s="311" t="s">
        <v>385</v>
      </c>
      <c r="D124" s="312">
        <v>-41.06</v>
      </c>
    </row>
    <row r="125" spans="1:4">
      <c r="A125" s="311"/>
      <c r="B125" s="311"/>
      <c r="C125" s="319" t="s">
        <v>237</v>
      </c>
      <c r="D125" s="320">
        <f>D113+D114+D117</f>
        <v>73071.73</v>
      </c>
    </row>
    <row r="126" spans="1:4">
      <c r="A126" s="311"/>
      <c r="B126" s="311"/>
      <c r="C126" s="315" t="s">
        <v>238</v>
      </c>
      <c r="D126" s="316">
        <f>SUM(D118:D124,D115:D116,D89:D112,D72:D88,D58:D71,D55:D57)</f>
        <v>-103596.29000000004</v>
      </c>
    </row>
    <row r="127" spans="1:4">
      <c r="A127" s="311"/>
      <c r="B127" s="311"/>
      <c r="C127" s="313" t="s">
        <v>239</v>
      </c>
      <c r="D127" s="314">
        <f>D125+D126</f>
        <v>-30524.560000000041</v>
      </c>
    </row>
    <row r="128" spans="1:4" ht="18">
      <c r="A128" s="404" t="s">
        <v>164</v>
      </c>
      <c r="B128" s="405"/>
      <c r="C128" s="406"/>
      <c r="D128" s="306">
        <v>-32364.310000000005</v>
      </c>
    </row>
  </sheetData>
  <mergeCells count="1">
    <mergeCell ref="A128:C128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4CC98-D806-4769-AB96-AC688B5794A5}">
  <sheetPr>
    <tabColor rgb="FF00B050"/>
  </sheetPr>
  <dimension ref="A1:D129"/>
  <sheetViews>
    <sheetView topLeftCell="A102" workbookViewId="0">
      <selection activeCell="C37" sqref="C37"/>
    </sheetView>
  </sheetViews>
  <sheetFormatPr baseColWidth="10" defaultColWidth="53.5" defaultRowHeight="15"/>
  <cols>
    <col min="1" max="1" width="31.33203125" bestFit="1" customWidth="1"/>
    <col min="2" max="2" width="44.83203125" bestFit="1" customWidth="1"/>
    <col min="3" max="3" width="53.33203125" bestFit="1" customWidth="1"/>
    <col min="4" max="4" width="23.83203125" bestFit="1" customWidth="1"/>
  </cols>
  <sheetData>
    <row r="1" spans="1:4">
      <c r="A1" s="381" t="s">
        <v>44</v>
      </c>
      <c r="B1" s="381" t="s">
        <v>45</v>
      </c>
      <c r="C1" s="381" t="s">
        <v>213</v>
      </c>
      <c r="D1" s="382" t="s">
        <v>47</v>
      </c>
    </row>
    <row r="2" spans="1:4">
      <c r="A2" s="362" t="s">
        <v>154</v>
      </c>
      <c r="B2" s="362" t="s">
        <v>121</v>
      </c>
      <c r="C2" s="362" t="s">
        <v>386</v>
      </c>
      <c r="D2" s="363">
        <v>-2308.9</v>
      </c>
    </row>
    <row r="3" spans="1:4">
      <c r="A3" s="362" t="s">
        <v>51</v>
      </c>
      <c r="B3" s="362" t="s">
        <v>106</v>
      </c>
      <c r="C3" s="362" t="s">
        <v>387</v>
      </c>
      <c r="D3" s="363">
        <v>-293.16000000000003</v>
      </c>
    </row>
    <row r="4" spans="1:4">
      <c r="A4" s="362" t="s">
        <v>51</v>
      </c>
      <c r="B4" s="362" t="s">
        <v>51</v>
      </c>
      <c r="C4" s="362" t="s">
        <v>388</v>
      </c>
      <c r="D4" s="363">
        <v>-152.84</v>
      </c>
    </row>
    <row r="5" spans="1:4">
      <c r="A5" s="362" t="s">
        <v>51</v>
      </c>
      <c r="B5" s="362" t="s">
        <v>51</v>
      </c>
      <c r="C5" s="362" t="s">
        <v>389</v>
      </c>
      <c r="D5" s="363">
        <v>-57.67</v>
      </c>
    </row>
    <row r="6" spans="1:4">
      <c r="A6" s="362" t="s">
        <v>51</v>
      </c>
      <c r="B6" s="362" t="s">
        <v>51</v>
      </c>
      <c r="C6" s="362" t="s">
        <v>390</v>
      </c>
      <c r="D6" s="363">
        <v>-69.89</v>
      </c>
    </row>
    <row r="7" spans="1:4">
      <c r="A7" s="362" t="s">
        <v>51</v>
      </c>
      <c r="B7" s="362" t="s">
        <v>51</v>
      </c>
      <c r="C7" s="362" t="s">
        <v>391</v>
      </c>
      <c r="D7" s="363">
        <v>-227.16</v>
      </c>
    </row>
    <row r="8" spans="1:4">
      <c r="A8" s="362" t="s">
        <v>51</v>
      </c>
      <c r="B8" s="362" t="s">
        <v>55</v>
      </c>
      <c r="C8" s="362" t="s">
        <v>221</v>
      </c>
      <c r="D8" s="363">
        <v>-81.14</v>
      </c>
    </row>
    <row r="9" spans="1:4">
      <c r="A9" s="362" t="s">
        <v>51</v>
      </c>
      <c r="B9" s="362" t="s">
        <v>51</v>
      </c>
      <c r="C9" s="362" t="s">
        <v>392</v>
      </c>
      <c r="D9" s="363">
        <v>-178.5</v>
      </c>
    </row>
    <row r="10" spans="1:4">
      <c r="A10" s="362" t="s">
        <v>51</v>
      </c>
      <c r="B10" s="362" t="s">
        <v>51</v>
      </c>
      <c r="C10" s="362" t="s">
        <v>222</v>
      </c>
      <c r="D10" s="363">
        <v>-42.739999999999995</v>
      </c>
    </row>
    <row r="11" spans="1:4">
      <c r="A11" s="362" t="s">
        <v>51</v>
      </c>
      <c r="B11" s="362" t="s">
        <v>51</v>
      </c>
      <c r="C11" s="362" t="s">
        <v>223</v>
      </c>
      <c r="D11" s="363">
        <v>-29.44</v>
      </c>
    </row>
    <row r="12" spans="1:4" ht="30">
      <c r="A12" s="362" t="s">
        <v>51</v>
      </c>
      <c r="B12" s="362" t="s">
        <v>74</v>
      </c>
      <c r="C12" s="362" t="s">
        <v>393</v>
      </c>
      <c r="D12" s="363">
        <v>-676.3</v>
      </c>
    </row>
    <row r="13" spans="1:4" ht="30">
      <c r="A13" s="362" t="s">
        <v>51</v>
      </c>
      <c r="B13" s="362" t="s">
        <v>51</v>
      </c>
      <c r="C13" s="362" t="s">
        <v>394</v>
      </c>
      <c r="D13" s="363">
        <v>-225.43</v>
      </c>
    </row>
    <row r="14" spans="1:4">
      <c r="A14" s="362" t="s">
        <v>51</v>
      </c>
      <c r="B14" s="362" t="s">
        <v>51</v>
      </c>
      <c r="C14" s="362" t="s">
        <v>395</v>
      </c>
      <c r="D14" s="363">
        <v>-84.56</v>
      </c>
    </row>
    <row r="15" spans="1:4" ht="30">
      <c r="A15" s="362" t="s">
        <v>51</v>
      </c>
      <c r="B15" s="362" t="s">
        <v>51</v>
      </c>
      <c r="C15" s="362" t="s">
        <v>396</v>
      </c>
      <c r="D15" s="363">
        <v>-210.44</v>
      </c>
    </row>
    <row r="16" spans="1:4">
      <c r="A16" s="362" t="s">
        <v>51</v>
      </c>
      <c r="B16" s="362" t="s">
        <v>119</v>
      </c>
      <c r="C16" s="362" t="s">
        <v>224</v>
      </c>
      <c r="D16" s="363">
        <v>-103.4</v>
      </c>
    </row>
    <row r="17" spans="1:4">
      <c r="A17" s="362" t="s">
        <v>51</v>
      </c>
      <c r="B17" s="362" t="s">
        <v>126</v>
      </c>
      <c r="C17" s="362" t="s">
        <v>226</v>
      </c>
      <c r="D17" s="363">
        <v>-102.04</v>
      </c>
    </row>
    <row r="18" spans="1:4" ht="30">
      <c r="A18" s="362" t="s">
        <v>51</v>
      </c>
      <c r="B18" s="362" t="s">
        <v>160</v>
      </c>
      <c r="C18" s="362" t="s">
        <v>227</v>
      </c>
      <c r="D18" s="363">
        <v>-477.38</v>
      </c>
    </row>
    <row r="19" spans="1:4">
      <c r="A19" s="362" t="s">
        <v>51</v>
      </c>
      <c r="B19" s="362" t="s">
        <v>143</v>
      </c>
      <c r="C19" s="362" t="s">
        <v>336</v>
      </c>
      <c r="D19" s="363">
        <v>-4000</v>
      </c>
    </row>
    <row r="20" spans="1:4">
      <c r="A20" s="362" t="s">
        <v>51</v>
      </c>
      <c r="B20" s="362" t="s">
        <v>51</v>
      </c>
      <c r="C20" s="362" t="s">
        <v>231</v>
      </c>
      <c r="D20" s="363">
        <v>-4000</v>
      </c>
    </row>
    <row r="21" spans="1:4">
      <c r="A21" s="362" t="s">
        <v>51</v>
      </c>
      <c r="B21" s="362" t="s">
        <v>49</v>
      </c>
      <c r="C21" s="362" t="s">
        <v>397</v>
      </c>
      <c r="D21" s="363">
        <v>758.63</v>
      </c>
    </row>
    <row r="22" spans="1:4">
      <c r="A22" s="362" t="s">
        <v>51</v>
      </c>
      <c r="B22" s="362" t="s">
        <v>51</v>
      </c>
      <c r="C22" s="362" t="s">
        <v>222</v>
      </c>
      <c r="D22" s="363">
        <v>181.64</v>
      </c>
    </row>
    <row r="23" spans="1:4">
      <c r="A23" s="362" t="s">
        <v>51</v>
      </c>
      <c r="B23" s="362" t="s">
        <v>51</v>
      </c>
      <c r="C23" s="362" t="s">
        <v>398</v>
      </c>
      <c r="D23" s="363">
        <v>10276.67</v>
      </c>
    </row>
    <row r="24" spans="1:4" ht="30">
      <c r="A24" s="362" t="s">
        <v>51</v>
      </c>
      <c r="B24" s="362" t="s">
        <v>51</v>
      </c>
      <c r="C24" s="362" t="s">
        <v>399</v>
      </c>
      <c r="D24" s="363">
        <v>470</v>
      </c>
    </row>
    <row r="25" spans="1:4">
      <c r="A25" s="362" t="s">
        <v>51</v>
      </c>
      <c r="B25" s="362" t="s">
        <v>83</v>
      </c>
      <c r="C25" s="362" t="s">
        <v>235</v>
      </c>
      <c r="D25" s="363">
        <v>16.630000000000003</v>
      </c>
    </row>
    <row r="26" spans="1:4" ht="17">
      <c r="A26" s="362"/>
      <c r="B26" s="362"/>
      <c r="C26" s="364" t="s">
        <v>237</v>
      </c>
      <c r="D26" s="365">
        <f>SUM(D21:D25)</f>
        <v>11703.57</v>
      </c>
    </row>
    <row r="27" spans="1:4" ht="17">
      <c r="A27" s="362"/>
      <c r="B27" s="362"/>
      <c r="C27" s="366" t="s">
        <v>238</v>
      </c>
      <c r="D27" s="367">
        <f>SUM(D2:D20)</f>
        <v>-13320.99</v>
      </c>
    </row>
    <row r="28" spans="1:4" ht="17">
      <c r="A28" s="362"/>
      <c r="B28" s="362"/>
      <c r="C28" s="368" t="s">
        <v>239</v>
      </c>
      <c r="D28" s="369">
        <f>D26+D27</f>
        <v>-1617.42</v>
      </c>
    </row>
    <row r="29" spans="1:4" ht="45">
      <c r="A29" s="337" t="s">
        <v>34</v>
      </c>
      <c r="B29" s="337" t="s">
        <v>55</v>
      </c>
      <c r="C29" s="337" t="s">
        <v>400</v>
      </c>
      <c r="D29" s="338">
        <v>-198.9</v>
      </c>
    </row>
    <row r="30" spans="1:4">
      <c r="A30" s="337" t="s">
        <v>51</v>
      </c>
      <c r="B30" s="337" t="s">
        <v>51</v>
      </c>
      <c r="C30" s="337" t="s">
        <v>401</v>
      </c>
      <c r="D30" s="338">
        <v>-544</v>
      </c>
    </row>
    <row r="31" spans="1:4">
      <c r="A31" s="337" t="s">
        <v>51</v>
      </c>
      <c r="B31" s="337" t="s">
        <v>51</v>
      </c>
      <c r="C31" s="337" t="s">
        <v>244</v>
      </c>
      <c r="D31" s="338">
        <v>-420.76</v>
      </c>
    </row>
    <row r="32" spans="1:4">
      <c r="A32" s="337" t="s">
        <v>51</v>
      </c>
      <c r="B32" s="337" t="s">
        <v>51</v>
      </c>
      <c r="C32" s="337" t="s">
        <v>245</v>
      </c>
      <c r="D32" s="338">
        <v>-580.38</v>
      </c>
    </row>
    <row r="33" spans="1:4">
      <c r="A33" s="337" t="s">
        <v>51</v>
      </c>
      <c r="B33" s="337" t="s">
        <v>51</v>
      </c>
      <c r="C33" s="337" t="s">
        <v>246</v>
      </c>
      <c r="D33" s="338">
        <v>-76.5</v>
      </c>
    </row>
    <row r="34" spans="1:4">
      <c r="A34" s="337" t="s">
        <v>51</v>
      </c>
      <c r="B34" s="337" t="s">
        <v>51</v>
      </c>
      <c r="C34" s="337" t="s">
        <v>247</v>
      </c>
      <c r="D34" s="338">
        <v>-70.13</v>
      </c>
    </row>
    <row r="35" spans="1:4">
      <c r="A35" s="337" t="s">
        <v>51</v>
      </c>
      <c r="B35" s="337" t="s">
        <v>74</v>
      </c>
      <c r="C35" s="337" t="s">
        <v>402</v>
      </c>
      <c r="D35" s="338">
        <v>-196.19</v>
      </c>
    </row>
    <row r="36" spans="1:4">
      <c r="A36" s="337" t="s">
        <v>51</v>
      </c>
      <c r="B36" s="337" t="s">
        <v>209</v>
      </c>
      <c r="C36" s="337" t="s">
        <v>340</v>
      </c>
      <c r="D36" s="338">
        <v>-2483.91</v>
      </c>
    </row>
    <row r="37" spans="1:4">
      <c r="A37" s="337" t="s">
        <v>51</v>
      </c>
      <c r="B37" s="337" t="s">
        <v>49</v>
      </c>
      <c r="C37" s="337" t="s">
        <v>397</v>
      </c>
      <c r="D37" s="338">
        <v>291.37</v>
      </c>
    </row>
    <row r="38" spans="1:4">
      <c r="A38" s="337" t="s">
        <v>51</v>
      </c>
      <c r="B38" s="337" t="s">
        <v>51</v>
      </c>
      <c r="C38" s="337" t="s">
        <v>403</v>
      </c>
      <c r="D38" s="338">
        <v>1365.59</v>
      </c>
    </row>
    <row r="39" spans="1:4">
      <c r="A39" s="337" t="s">
        <v>51</v>
      </c>
      <c r="B39" s="337" t="s">
        <v>51</v>
      </c>
      <c r="C39" s="337" t="s">
        <v>244</v>
      </c>
      <c r="D39" s="338">
        <v>7200</v>
      </c>
    </row>
    <row r="40" spans="1:4">
      <c r="A40" s="337" t="s">
        <v>51</v>
      </c>
      <c r="B40" s="337" t="s">
        <v>51</v>
      </c>
      <c r="C40" s="337" t="s">
        <v>404</v>
      </c>
      <c r="D40" s="338">
        <v>480</v>
      </c>
    </row>
    <row r="41" spans="1:4">
      <c r="A41" s="337" t="s">
        <v>51</v>
      </c>
      <c r="B41" s="337" t="s">
        <v>76</v>
      </c>
      <c r="C41" s="337" t="s">
        <v>405</v>
      </c>
      <c r="D41" s="338">
        <v>-99</v>
      </c>
    </row>
    <row r="42" spans="1:4" ht="17">
      <c r="A42" s="337"/>
      <c r="B42" s="337"/>
      <c r="C42" s="339" t="s">
        <v>237</v>
      </c>
      <c r="D42" s="340">
        <f>SUM(D37:D40)</f>
        <v>9336.9599999999991</v>
      </c>
    </row>
    <row r="43" spans="1:4" ht="17">
      <c r="A43" s="337"/>
      <c r="B43" s="337"/>
      <c r="C43" s="341" t="s">
        <v>238</v>
      </c>
      <c r="D43" s="342">
        <f>SUM(D29:D36)+D41</f>
        <v>-4669.7700000000004</v>
      </c>
    </row>
    <row r="44" spans="1:4" ht="17">
      <c r="A44" s="337"/>
      <c r="B44" s="337"/>
      <c r="C44" s="343" t="s">
        <v>239</v>
      </c>
      <c r="D44" s="344">
        <f>D42+D43</f>
        <v>4667.1899999999987</v>
      </c>
    </row>
    <row r="45" spans="1:4">
      <c r="A45" s="329" t="s">
        <v>35</v>
      </c>
      <c r="B45" s="329" t="s">
        <v>55</v>
      </c>
      <c r="C45" s="329" t="s">
        <v>258</v>
      </c>
      <c r="D45" s="330">
        <v>-2362.67</v>
      </c>
    </row>
    <row r="46" spans="1:4" ht="30">
      <c r="A46" s="329" t="s">
        <v>51</v>
      </c>
      <c r="B46" s="329" t="s">
        <v>87</v>
      </c>
      <c r="C46" s="329" t="s">
        <v>406</v>
      </c>
      <c r="D46" s="330">
        <v>-1470.12</v>
      </c>
    </row>
    <row r="47" spans="1:4" ht="30">
      <c r="A47" s="329" t="s">
        <v>51</v>
      </c>
      <c r="B47" s="329" t="s">
        <v>73</v>
      </c>
      <c r="C47" s="329" t="s">
        <v>399</v>
      </c>
      <c r="D47" s="330">
        <v>-86.52</v>
      </c>
    </row>
    <row r="48" spans="1:4" ht="30">
      <c r="A48" s="329" t="s">
        <v>51</v>
      </c>
      <c r="B48" s="329" t="s">
        <v>49</v>
      </c>
      <c r="C48" s="329" t="s">
        <v>399</v>
      </c>
      <c r="D48" s="330">
        <v>936.84</v>
      </c>
    </row>
    <row r="49" spans="1:4" ht="17">
      <c r="A49" s="329"/>
      <c r="B49" s="329"/>
      <c r="C49" s="331" t="s">
        <v>237</v>
      </c>
      <c r="D49" s="332">
        <f>D48</f>
        <v>936.84</v>
      </c>
    </row>
    <row r="50" spans="1:4" ht="17">
      <c r="A50" s="329"/>
      <c r="B50" s="329"/>
      <c r="C50" s="333" t="s">
        <v>238</v>
      </c>
      <c r="D50" s="334">
        <f>SUM(D45:D47)</f>
        <v>-3919.31</v>
      </c>
    </row>
    <row r="51" spans="1:4" ht="17">
      <c r="A51" s="329"/>
      <c r="B51" s="329"/>
      <c r="C51" s="335" t="s">
        <v>239</v>
      </c>
      <c r="D51" s="336">
        <f>D49+D50</f>
        <v>-2982.47</v>
      </c>
    </row>
    <row r="52" spans="1:4">
      <c r="A52" s="345" t="s">
        <v>148</v>
      </c>
      <c r="B52" s="345" t="s">
        <v>55</v>
      </c>
      <c r="C52" s="345" t="s">
        <v>259</v>
      </c>
      <c r="D52" s="346">
        <v>-2240.8500000000004</v>
      </c>
    </row>
    <row r="53" spans="1:4">
      <c r="A53" s="345" t="s">
        <v>51</v>
      </c>
      <c r="B53" s="345" t="s">
        <v>51</v>
      </c>
      <c r="C53" s="345" t="s">
        <v>407</v>
      </c>
      <c r="D53" s="346">
        <v>-255.87</v>
      </c>
    </row>
    <row r="54" spans="1:4">
      <c r="A54" s="345" t="s">
        <v>51</v>
      </c>
      <c r="B54" s="345" t="s">
        <v>87</v>
      </c>
      <c r="C54" s="345" t="s">
        <v>347</v>
      </c>
      <c r="D54" s="346">
        <v>-273.12</v>
      </c>
    </row>
    <row r="55" spans="1:4">
      <c r="A55" s="345" t="s">
        <v>51</v>
      </c>
      <c r="B55" s="345" t="s">
        <v>49</v>
      </c>
      <c r="C55" s="345" t="s">
        <v>222</v>
      </c>
      <c r="D55" s="346">
        <v>11290.9</v>
      </c>
    </row>
    <row r="56" spans="1:4" ht="17">
      <c r="A56" s="345"/>
      <c r="B56" s="345"/>
      <c r="C56" s="347" t="s">
        <v>237</v>
      </c>
      <c r="D56" s="348">
        <f>D55</f>
        <v>11290.9</v>
      </c>
    </row>
    <row r="57" spans="1:4" ht="17">
      <c r="A57" s="345"/>
      <c r="B57" s="345"/>
      <c r="C57" s="349" t="s">
        <v>238</v>
      </c>
      <c r="D57" s="350">
        <f>SUM(D52:D54)</f>
        <v>-2769.84</v>
      </c>
    </row>
    <row r="58" spans="1:4" ht="17">
      <c r="A58" s="345"/>
      <c r="B58" s="345"/>
      <c r="C58" s="351" t="s">
        <v>239</v>
      </c>
      <c r="D58" s="352">
        <f>D56+D57</f>
        <v>8521.06</v>
      </c>
    </row>
    <row r="59" spans="1:4">
      <c r="A59" s="353" t="s">
        <v>81</v>
      </c>
      <c r="B59" s="353" t="s">
        <v>121</v>
      </c>
      <c r="C59" s="353" t="s">
        <v>262</v>
      </c>
      <c r="D59" s="354">
        <v>-2019.95</v>
      </c>
    </row>
    <row r="60" spans="1:4">
      <c r="A60" s="353" t="s">
        <v>51</v>
      </c>
      <c r="B60" s="353" t="s">
        <v>106</v>
      </c>
      <c r="C60" s="353" t="s">
        <v>408</v>
      </c>
      <c r="D60" s="354">
        <v>-399.89</v>
      </c>
    </row>
    <row r="61" spans="1:4">
      <c r="A61" s="353" t="s">
        <v>51</v>
      </c>
      <c r="B61" s="353" t="s">
        <v>51</v>
      </c>
      <c r="C61" s="353" t="s">
        <v>409</v>
      </c>
      <c r="D61" s="354">
        <v>-54.08</v>
      </c>
    </row>
    <row r="62" spans="1:4">
      <c r="A62" s="353" t="s">
        <v>51</v>
      </c>
      <c r="B62" s="353" t="s">
        <v>55</v>
      </c>
      <c r="C62" s="353" t="s">
        <v>269</v>
      </c>
      <c r="D62" s="354">
        <v>-24546.799999999999</v>
      </c>
    </row>
    <row r="63" spans="1:4" ht="30">
      <c r="A63" s="353" t="s">
        <v>51</v>
      </c>
      <c r="B63" s="353" t="s">
        <v>51</v>
      </c>
      <c r="C63" s="353" t="s">
        <v>410</v>
      </c>
      <c r="D63" s="354">
        <v>-600</v>
      </c>
    </row>
    <row r="64" spans="1:4" ht="30">
      <c r="A64" s="353" t="s">
        <v>51</v>
      </c>
      <c r="B64" s="353" t="s">
        <v>51</v>
      </c>
      <c r="C64" s="353" t="s">
        <v>411</v>
      </c>
      <c r="D64" s="354">
        <v>-24999.989999999998</v>
      </c>
    </row>
    <row r="65" spans="1:4">
      <c r="A65" s="353" t="s">
        <v>51</v>
      </c>
      <c r="B65" s="353" t="s">
        <v>51</v>
      </c>
      <c r="C65" s="353" t="s">
        <v>272</v>
      </c>
      <c r="D65" s="354">
        <v>-600</v>
      </c>
    </row>
    <row r="66" spans="1:4" ht="30">
      <c r="A66" s="353" t="s">
        <v>51</v>
      </c>
      <c r="B66" s="353" t="s">
        <v>51</v>
      </c>
      <c r="C66" s="353" t="s">
        <v>412</v>
      </c>
      <c r="D66" s="354">
        <v>-1300</v>
      </c>
    </row>
    <row r="67" spans="1:4" ht="30">
      <c r="A67" s="353" t="s">
        <v>51</v>
      </c>
      <c r="B67" s="353" t="s">
        <v>51</v>
      </c>
      <c r="C67" s="353" t="s">
        <v>413</v>
      </c>
      <c r="D67" s="354">
        <v>-600</v>
      </c>
    </row>
    <row r="68" spans="1:4">
      <c r="A68" s="353" t="s">
        <v>51</v>
      </c>
      <c r="B68" s="353" t="s">
        <v>123</v>
      </c>
      <c r="C68" s="353" t="s">
        <v>414</v>
      </c>
      <c r="D68" s="354">
        <v>-500</v>
      </c>
    </row>
    <row r="69" spans="1:4">
      <c r="A69" s="353" t="s">
        <v>51</v>
      </c>
      <c r="B69" s="353" t="s">
        <v>51</v>
      </c>
      <c r="C69" s="353" t="s">
        <v>415</v>
      </c>
      <c r="D69" s="354">
        <v>-650</v>
      </c>
    </row>
    <row r="70" spans="1:4">
      <c r="A70" s="353" t="s">
        <v>51</v>
      </c>
      <c r="B70" s="353" t="s">
        <v>51</v>
      </c>
      <c r="C70" s="353" t="s">
        <v>416</v>
      </c>
      <c r="D70" s="354">
        <v>-1190</v>
      </c>
    </row>
    <row r="71" spans="1:4" ht="30">
      <c r="A71" s="353" t="s">
        <v>51</v>
      </c>
      <c r="B71" s="353" t="s">
        <v>51</v>
      </c>
      <c r="C71" s="353" t="s">
        <v>417</v>
      </c>
      <c r="D71" s="354">
        <v>-257.87</v>
      </c>
    </row>
    <row r="72" spans="1:4" ht="30">
      <c r="A72" s="353" t="s">
        <v>51</v>
      </c>
      <c r="B72" s="353" t="s">
        <v>51</v>
      </c>
      <c r="C72" s="353" t="s">
        <v>418</v>
      </c>
      <c r="D72" s="354">
        <v>-1400</v>
      </c>
    </row>
    <row r="73" spans="1:4">
      <c r="A73" s="353" t="s">
        <v>51</v>
      </c>
      <c r="B73" s="353" t="s">
        <v>51</v>
      </c>
      <c r="C73" s="353" t="s">
        <v>419</v>
      </c>
      <c r="D73" s="354">
        <v>-1300.5999999999999</v>
      </c>
    </row>
    <row r="74" spans="1:4">
      <c r="A74" s="353" t="s">
        <v>51</v>
      </c>
      <c r="B74" s="353" t="s">
        <v>51</v>
      </c>
      <c r="C74" s="353" t="s">
        <v>420</v>
      </c>
      <c r="D74" s="354">
        <v>-84</v>
      </c>
    </row>
    <row r="75" spans="1:4">
      <c r="A75" s="353" t="s">
        <v>51</v>
      </c>
      <c r="B75" s="353" t="s">
        <v>104</v>
      </c>
      <c r="C75" s="353" t="s">
        <v>278</v>
      </c>
      <c r="D75" s="354">
        <v>-448.25</v>
      </c>
    </row>
    <row r="76" spans="1:4" ht="30">
      <c r="A76" s="353" t="s">
        <v>51</v>
      </c>
      <c r="B76" s="353" t="s">
        <v>74</v>
      </c>
      <c r="C76" s="353" t="s">
        <v>421</v>
      </c>
      <c r="D76" s="354">
        <v>-485</v>
      </c>
    </row>
    <row r="77" spans="1:4">
      <c r="A77" s="353" t="s">
        <v>51</v>
      </c>
      <c r="B77" s="353" t="s">
        <v>51</v>
      </c>
      <c r="C77" s="353" t="s">
        <v>361</v>
      </c>
      <c r="D77" s="354">
        <v>-3000</v>
      </c>
    </row>
    <row r="78" spans="1:4">
      <c r="A78" s="353" t="s">
        <v>51</v>
      </c>
      <c r="B78" s="353" t="s">
        <v>51</v>
      </c>
      <c r="C78" s="353" t="s">
        <v>281</v>
      </c>
      <c r="D78" s="354">
        <v>-461.62</v>
      </c>
    </row>
    <row r="79" spans="1:4" ht="30">
      <c r="A79" s="353" t="s">
        <v>51</v>
      </c>
      <c r="B79" s="353" t="s">
        <v>51</v>
      </c>
      <c r="C79" s="353" t="s">
        <v>422</v>
      </c>
      <c r="D79" s="354">
        <v>-536.84</v>
      </c>
    </row>
    <row r="80" spans="1:4" ht="30">
      <c r="A80" s="353" t="s">
        <v>51</v>
      </c>
      <c r="B80" s="353" t="s">
        <v>51</v>
      </c>
      <c r="C80" s="353" t="s">
        <v>283</v>
      </c>
      <c r="D80" s="354">
        <v>-249.75</v>
      </c>
    </row>
    <row r="81" spans="1:4" ht="30">
      <c r="A81" s="353" t="s">
        <v>51</v>
      </c>
      <c r="B81" s="353" t="s">
        <v>51</v>
      </c>
      <c r="C81" s="353" t="s">
        <v>393</v>
      </c>
      <c r="D81" s="354">
        <v>-2028.87</v>
      </c>
    </row>
    <row r="82" spans="1:4" ht="30">
      <c r="A82" s="353" t="s">
        <v>51</v>
      </c>
      <c r="B82" s="353" t="s">
        <v>51</v>
      </c>
      <c r="C82" s="353" t="s">
        <v>394</v>
      </c>
      <c r="D82" s="354">
        <v>-676.3</v>
      </c>
    </row>
    <row r="83" spans="1:4">
      <c r="A83" s="353" t="s">
        <v>51</v>
      </c>
      <c r="B83" s="353" t="s">
        <v>51</v>
      </c>
      <c r="C83" s="353" t="s">
        <v>395</v>
      </c>
      <c r="D83" s="354">
        <v>-210.44</v>
      </c>
    </row>
    <row r="84" spans="1:4" ht="30">
      <c r="A84" s="353" t="s">
        <v>51</v>
      </c>
      <c r="B84" s="353" t="s">
        <v>51</v>
      </c>
      <c r="C84" s="353" t="s">
        <v>396</v>
      </c>
      <c r="D84" s="354">
        <v>-523.72</v>
      </c>
    </row>
    <row r="85" spans="1:4" ht="30">
      <c r="A85" s="353" t="s">
        <v>51</v>
      </c>
      <c r="B85" s="353" t="s">
        <v>423</v>
      </c>
      <c r="C85" s="353" t="s">
        <v>424</v>
      </c>
      <c r="D85" s="354">
        <v>554.06999999999994</v>
      </c>
    </row>
    <row r="86" spans="1:4">
      <c r="A86" s="353" t="s">
        <v>51</v>
      </c>
      <c r="B86" s="353" t="s">
        <v>119</v>
      </c>
      <c r="C86" s="353" t="s">
        <v>119</v>
      </c>
      <c r="D86" s="354">
        <v>-515.13</v>
      </c>
    </row>
    <row r="87" spans="1:4">
      <c r="A87" s="353" t="s">
        <v>51</v>
      </c>
      <c r="B87" s="353" t="s">
        <v>85</v>
      </c>
      <c r="C87" s="353" t="s">
        <v>285</v>
      </c>
      <c r="D87" s="354">
        <v>-63.91</v>
      </c>
    </row>
    <row r="88" spans="1:4">
      <c r="A88" s="353" t="s">
        <v>51</v>
      </c>
      <c r="B88" s="353" t="s">
        <v>90</v>
      </c>
      <c r="C88" s="353" t="s">
        <v>288</v>
      </c>
      <c r="D88" s="354">
        <v>-196.02</v>
      </c>
    </row>
    <row r="89" spans="1:4">
      <c r="A89" s="353" t="s">
        <v>51</v>
      </c>
      <c r="B89" s="353" t="s">
        <v>87</v>
      </c>
      <c r="C89" s="353" t="s">
        <v>425</v>
      </c>
      <c r="D89" s="354">
        <v>-115</v>
      </c>
    </row>
    <row r="90" spans="1:4">
      <c r="A90" s="353" t="s">
        <v>51</v>
      </c>
      <c r="B90" s="353" t="s">
        <v>51</v>
      </c>
      <c r="C90" s="353" t="s">
        <v>290</v>
      </c>
      <c r="D90" s="354">
        <v>-150</v>
      </c>
    </row>
    <row r="91" spans="1:4">
      <c r="A91" s="353" t="s">
        <v>51</v>
      </c>
      <c r="B91" s="353" t="s">
        <v>113</v>
      </c>
      <c r="C91" s="353" t="s">
        <v>292</v>
      </c>
      <c r="D91" s="354">
        <v>-200</v>
      </c>
    </row>
    <row r="92" spans="1:4">
      <c r="A92" s="353" t="s">
        <v>51</v>
      </c>
      <c r="B92" s="353" t="s">
        <v>73</v>
      </c>
      <c r="C92" s="353" t="s">
        <v>426</v>
      </c>
      <c r="D92" s="354">
        <v>-615</v>
      </c>
    </row>
    <row r="93" spans="1:4">
      <c r="A93" s="353" t="s">
        <v>51</v>
      </c>
      <c r="B93" s="353" t="s">
        <v>51</v>
      </c>
      <c r="C93" s="353" t="s">
        <v>398</v>
      </c>
      <c r="D93" s="354">
        <v>-8351.32</v>
      </c>
    </row>
    <row r="94" spans="1:4">
      <c r="A94" s="353" t="s">
        <v>51</v>
      </c>
      <c r="B94" s="353" t="s">
        <v>92</v>
      </c>
      <c r="C94" s="353" t="s">
        <v>294</v>
      </c>
      <c r="D94" s="354">
        <v>-206.2</v>
      </c>
    </row>
    <row r="95" spans="1:4">
      <c r="A95" s="353" t="s">
        <v>51</v>
      </c>
      <c r="B95" s="353" t="s">
        <v>126</v>
      </c>
      <c r="C95" s="353" t="s">
        <v>427</v>
      </c>
      <c r="D95" s="354">
        <v>-24.24</v>
      </c>
    </row>
    <row r="96" spans="1:4">
      <c r="A96" s="353" t="s">
        <v>51</v>
      </c>
      <c r="B96" s="353" t="s">
        <v>51</v>
      </c>
      <c r="C96" s="353" t="s">
        <v>298</v>
      </c>
      <c r="D96" s="354">
        <v>-50</v>
      </c>
    </row>
    <row r="97" spans="1:4">
      <c r="A97" s="353" t="s">
        <v>51</v>
      </c>
      <c r="B97" s="353" t="s">
        <v>51</v>
      </c>
      <c r="C97" s="353" t="s">
        <v>299</v>
      </c>
      <c r="D97" s="354">
        <v>-99.9</v>
      </c>
    </row>
    <row r="98" spans="1:4">
      <c r="A98" s="353" t="s">
        <v>51</v>
      </c>
      <c r="B98" s="353" t="s">
        <v>51</v>
      </c>
      <c r="C98" s="353" t="s">
        <v>300</v>
      </c>
      <c r="D98" s="354">
        <v>-226.43</v>
      </c>
    </row>
    <row r="99" spans="1:4">
      <c r="A99" s="353" t="s">
        <v>51</v>
      </c>
      <c r="B99" s="353" t="s">
        <v>51</v>
      </c>
      <c r="C99" s="353" t="s">
        <v>368</v>
      </c>
      <c r="D99" s="354">
        <v>-607</v>
      </c>
    </row>
    <row r="100" spans="1:4">
      <c r="A100" s="353" t="s">
        <v>51</v>
      </c>
      <c r="B100" s="353" t="s">
        <v>51</v>
      </c>
      <c r="C100" s="353" t="s">
        <v>302</v>
      </c>
      <c r="D100" s="354">
        <v>-38</v>
      </c>
    </row>
    <row r="101" spans="1:4">
      <c r="A101" s="353" t="s">
        <v>51</v>
      </c>
      <c r="B101" s="353" t="s">
        <v>139</v>
      </c>
      <c r="C101" s="353" t="s">
        <v>139</v>
      </c>
      <c r="D101" s="354">
        <v>-2733.8</v>
      </c>
    </row>
    <row r="102" spans="1:4" ht="30">
      <c r="A102" s="353" t="s">
        <v>51</v>
      </c>
      <c r="B102" s="353" t="s">
        <v>98</v>
      </c>
      <c r="C102" s="353" t="s">
        <v>428</v>
      </c>
      <c r="D102" s="354">
        <v>-744.42</v>
      </c>
    </row>
    <row r="103" spans="1:4" ht="30">
      <c r="A103" s="353" t="s">
        <v>51</v>
      </c>
      <c r="B103" s="353" t="s">
        <v>136</v>
      </c>
      <c r="C103" s="353" t="s">
        <v>429</v>
      </c>
      <c r="D103" s="354">
        <v>-224.09</v>
      </c>
    </row>
    <row r="104" spans="1:4">
      <c r="A104" s="353" t="s">
        <v>51</v>
      </c>
      <c r="B104" s="353" t="s">
        <v>51</v>
      </c>
      <c r="C104" s="353" t="s">
        <v>138</v>
      </c>
      <c r="D104" s="354">
        <v>-2280.44</v>
      </c>
    </row>
    <row r="105" spans="1:4">
      <c r="A105" s="353" t="s">
        <v>51</v>
      </c>
      <c r="B105" s="353" t="s">
        <v>51</v>
      </c>
      <c r="C105" s="353" t="s">
        <v>430</v>
      </c>
      <c r="D105" s="354">
        <v>-204.82</v>
      </c>
    </row>
    <row r="106" spans="1:4" ht="30">
      <c r="A106" s="353" t="s">
        <v>51</v>
      </c>
      <c r="B106" s="353" t="s">
        <v>51</v>
      </c>
      <c r="C106" s="353" t="s">
        <v>431</v>
      </c>
      <c r="D106" s="354">
        <v>-500</v>
      </c>
    </row>
    <row r="107" spans="1:4" ht="30">
      <c r="A107" s="353" t="s">
        <v>51</v>
      </c>
      <c r="B107" s="353" t="s">
        <v>51</v>
      </c>
      <c r="C107" s="353" t="s">
        <v>432</v>
      </c>
      <c r="D107" s="354">
        <v>-500</v>
      </c>
    </row>
    <row r="108" spans="1:4">
      <c r="A108" s="353" t="s">
        <v>51</v>
      </c>
      <c r="B108" s="353" t="s">
        <v>115</v>
      </c>
      <c r="C108" s="353" t="s">
        <v>309</v>
      </c>
      <c r="D108" s="354">
        <v>-866.8</v>
      </c>
    </row>
    <row r="109" spans="1:4">
      <c r="A109" s="353" t="s">
        <v>51</v>
      </c>
      <c r="B109" s="353" t="s">
        <v>102</v>
      </c>
      <c r="C109" s="353" t="s">
        <v>433</v>
      </c>
      <c r="D109" s="354">
        <v>-250</v>
      </c>
    </row>
    <row r="110" spans="1:4">
      <c r="A110" s="353" t="s">
        <v>51</v>
      </c>
      <c r="B110" s="353" t="s">
        <v>51</v>
      </c>
      <c r="C110" s="353" t="s">
        <v>375</v>
      </c>
      <c r="D110" s="354">
        <v>-112.47</v>
      </c>
    </row>
    <row r="111" spans="1:4">
      <c r="A111" s="353" t="s">
        <v>51</v>
      </c>
      <c r="B111" s="353" t="s">
        <v>94</v>
      </c>
      <c r="C111" s="353" t="s">
        <v>434</v>
      </c>
      <c r="D111" s="354">
        <v>-282.44</v>
      </c>
    </row>
    <row r="112" spans="1:4">
      <c r="A112" s="353" t="s">
        <v>51</v>
      </c>
      <c r="B112" s="353" t="s">
        <v>51</v>
      </c>
      <c r="C112" s="353" t="s">
        <v>391</v>
      </c>
      <c r="D112" s="354">
        <v>-227.16</v>
      </c>
    </row>
    <row r="113" spans="1:4">
      <c r="A113" s="353" t="s">
        <v>51</v>
      </c>
      <c r="B113" s="353" t="s">
        <v>117</v>
      </c>
      <c r="C113" s="353" t="s">
        <v>313</v>
      </c>
      <c r="D113" s="354">
        <v>-1000</v>
      </c>
    </row>
    <row r="114" spans="1:4">
      <c r="A114" s="353" t="s">
        <v>51</v>
      </c>
      <c r="B114" s="353" t="s">
        <v>143</v>
      </c>
      <c r="C114" s="353" t="s">
        <v>435</v>
      </c>
      <c r="D114" s="354">
        <v>-3761.81</v>
      </c>
    </row>
    <row r="115" spans="1:4">
      <c r="A115" s="353" t="s">
        <v>51</v>
      </c>
      <c r="B115" s="353" t="s">
        <v>51</v>
      </c>
      <c r="C115" s="353" t="s">
        <v>314</v>
      </c>
      <c r="D115" s="354">
        <v>-7000</v>
      </c>
    </row>
    <row r="116" spans="1:4">
      <c r="A116" s="353" t="s">
        <v>51</v>
      </c>
      <c r="B116" s="353" t="s">
        <v>51</v>
      </c>
      <c r="C116" s="353" t="s">
        <v>315</v>
      </c>
      <c r="D116" s="354">
        <v>-8000</v>
      </c>
    </row>
    <row r="117" spans="1:4" ht="30">
      <c r="A117" s="353" t="s">
        <v>51</v>
      </c>
      <c r="B117" s="353" t="s">
        <v>49</v>
      </c>
      <c r="C117" s="353" t="s">
        <v>380</v>
      </c>
      <c r="D117" s="354">
        <v>1040.43</v>
      </c>
    </row>
    <row r="118" spans="1:4">
      <c r="A118" s="353" t="s">
        <v>51</v>
      </c>
      <c r="B118" s="353" t="s">
        <v>51</v>
      </c>
      <c r="C118" s="353" t="s">
        <v>426</v>
      </c>
      <c r="D118" s="354">
        <v>10000</v>
      </c>
    </row>
    <row r="119" spans="1:4">
      <c r="A119" s="353" t="s">
        <v>51</v>
      </c>
      <c r="B119" s="353" t="s">
        <v>51</v>
      </c>
      <c r="C119" s="353" t="s">
        <v>398</v>
      </c>
      <c r="D119" s="354">
        <v>125517.16</v>
      </c>
    </row>
    <row r="120" spans="1:4">
      <c r="A120" s="353" t="s">
        <v>51</v>
      </c>
      <c r="B120" s="353" t="s">
        <v>83</v>
      </c>
      <c r="C120" s="353" t="s">
        <v>235</v>
      </c>
      <c r="D120" s="354">
        <v>9.6799999999999979</v>
      </c>
    </row>
    <row r="121" spans="1:4">
      <c r="A121" s="353" t="s">
        <v>51</v>
      </c>
      <c r="B121" s="353" t="s">
        <v>79</v>
      </c>
      <c r="C121" s="353" t="s">
        <v>321</v>
      </c>
      <c r="D121" s="354">
        <v>-2500</v>
      </c>
    </row>
    <row r="122" spans="1:4">
      <c r="A122" s="353" t="s">
        <v>51</v>
      </c>
      <c r="B122" s="353" t="s">
        <v>51</v>
      </c>
      <c r="C122" s="353" t="s">
        <v>322</v>
      </c>
      <c r="D122" s="354">
        <v>-2000</v>
      </c>
    </row>
    <row r="123" spans="1:4">
      <c r="A123" s="353" t="s">
        <v>51</v>
      </c>
      <c r="B123" s="353" t="s">
        <v>51</v>
      </c>
      <c r="C123" s="353" t="s">
        <v>324</v>
      </c>
      <c r="D123" s="354">
        <v>-2064.27</v>
      </c>
    </row>
    <row r="124" spans="1:4">
      <c r="A124" s="353" t="s">
        <v>51</v>
      </c>
      <c r="B124" s="353" t="s">
        <v>125</v>
      </c>
      <c r="C124" s="353" t="s">
        <v>325</v>
      </c>
      <c r="D124" s="354">
        <v>-2626.07</v>
      </c>
    </row>
    <row r="125" spans="1:4">
      <c r="A125" s="353" t="s">
        <v>51</v>
      </c>
      <c r="B125" s="353" t="s">
        <v>65</v>
      </c>
      <c r="C125" s="353" t="s">
        <v>436</v>
      </c>
      <c r="D125" s="354">
        <v>-41.06</v>
      </c>
    </row>
    <row r="126" spans="1:4" ht="17">
      <c r="A126" s="353"/>
      <c r="B126" s="353"/>
      <c r="C126" s="355" t="s">
        <v>237</v>
      </c>
      <c r="D126" s="356">
        <f>SUM(D117:D120)+D85</f>
        <v>137121.34</v>
      </c>
    </row>
    <row r="127" spans="1:4" ht="17">
      <c r="A127" s="353"/>
      <c r="B127" s="353"/>
      <c r="C127" s="357" t="s">
        <v>238</v>
      </c>
      <c r="D127" s="358">
        <f>SUM(D121:D125)+SUM(D86:D116)+SUM(D59:D84)</f>
        <v>-118501.77</v>
      </c>
    </row>
    <row r="128" spans="1:4" ht="17">
      <c r="A128" s="353"/>
      <c r="B128" s="353"/>
      <c r="C128" s="359" t="s">
        <v>239</v>
      </c>
      <c r="D128" s="360">
        <f>D126+D127</f>
        <v>18619.569999999992</v>
      </c>
    </row>
    <row r="129" spans="1:4" ht="20">
      <c r="A129" s="391" t="s">
        <v>164</v>
      </c>
      <c r="B129" s="392"/>
      <c r="C129" s="393"/>
      <c r="D129" s="361">
        <f>D128+D58+D51+D44+D28</f>
        <v>27207.929999999986</v>
      </c>
    </row>
  </sheetData>
  <mergeCells count="1">
    <mergeCell ref="A129:C129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9898-5667-4FAA-9722-74EDE4C0FA7E}">
  <sheetPr>
    <tabColor rgb="FF00B050"/>
  </sheetPr>
  <dimension ref="A1:D130"/>
  <sheetViews>
    <sheetView showGridLines="0" workbookViewId="0">
      <selection activeCell="B19" sqref="B19"/>
    </sheetView>
  </sheetViews>
  <sheetFormatPr baseColWidth="10" defaultColWidth="53.5" defaultRowHeight="15"/>
  <cols>
    <col min="1" max="1" width="31.33203125" bestFit="1" customWidth="1"/>
    <col min="2" max="2" width="44.83203125" bestFit="1" customWidth="1"/>
    <col min="3" max="3" width="53.33203125" bestFit="1" customWidth="1"/>
    <col min="4" max="4" width="23.83203125" bestFit="1" customWidth="1"/>
  </cols>
  <sheetData>
    <row r="1" spans="1:4">
      <c r="A1" s="379" t="s">
        <v>44</v>
      </c>
      <c r="B1" s="379" t="s">
        <v>45</v>
      </c>
      <c r="C1" s="379" t="s">
        <v>213</v>
      </c>
      <c r="D1" s="380" t="s">
        <v>47</v>
      </c>
    </row>
    <row r="2" spans="1:4">
      <c r="A2" s="362" t="s">
        <v>154</v>
      </c>
      <c r="B2" s="362" t="s">
        <v>121</v>
      </c>
      <c r="C2" s="362" t="s">
        <v>214</v>
      </c>
      <c r="D2" s="363">
        <v>-2734.07</v>
      </c>
    </row>
    <row r="3" spans="1:4">
      <c r="A3" s="362" t="s">
        <v>51</v>
      </c>
      <c r="B3" s="362" t="s">
        <v>106</v>
      </c>
      <c r="C3" s="362" t="s">
        <v>437</v>
      </c>
      <c r="D3" s="363">
        <v>-293.16000000000003</v>
      </c>
    </row>
    <row r="4" spans="1:4">
      <c r="A4" s="362" t="s">
        <v>51</v>
      </c>
      <c r="B4" s="362" t="s">
        <v>51</v>
      </c>
      <c r="C4" s="362" t="s">
        <v>438</v>
      </c>
      <c r="D4" s="363">
        <v>-152.84</v>
      </c>
    </row>
    <row r="5" spans="1:4">
      <c r="A5" s="362" t="s">
        <v>51</v>
      </c>
      <c r="B5" s="362" t="s">
        <v>51</v>
      </c>
      <c r="C5" s="362" t="s">
        <v>439</v>
      </c>
      <c r="D5" s="363">
        <v>-57.67</v>
      </c>
    </row>
    <row r="6" spans="1:4">
      <c r="A6" s="362" t="s">
        <v>51</v>
      </c>
      <c r="B6" s="362" t="s">
        <v>51</v>
      </c>
      <c r="C6" s="362" t="s">
        <v>440</v>
      </c>
      <c r="D6" s="363">
        <v>-69.89</v>
      </c>
    </row>
    <row r="7" spans="1:4">
      <c r="A7" s="362" t="s">
        <v>51</v>
      </c>
      <c r="B7" s="362" t="s">
        <v>51</v>
      </c>
      <c r="C7" s="362" t="s">
        <v>441</v>
      </c>
      <c r="D7" s="363">
        <v>-227.16</v>
      </c>
    </row>
    <row r="8" spans="1:4">
      <c r="A8" s="362" t="s">
        <v>51</v>
      </c>
      <c r="B8" s="362" t="s">
        <v>55</v>
      </c>
      <c r="C8" s="362" t="s">
        <v>221</v>
      </c>
      <c r="D8" s="363">
        <v>-128.59</v>
      </c>
    </row>
    <row r="9" spans="1:4">
      <c r="A9" s="362" t="s">
        <v>51</v>
      </c>
      <c r="B9" s="362" t="s">
        <v>51</v>
      </c>
      <c r="C9" s="362" t="s">
        <v>222</v>
      </c>
      <c r="D9" s="363">
        <v>-40.76</v>
      </c>
    </row>
    <row r="10" spans="1:4">
      <c r="A10" s="362" t="s">
        <v>51</v>
      </c>
      <c r="B10" s="362" t="s">
        <v>51</v>
      </c>
      <c r="C10" s="362" t="s">
        <v>223</v>
      </c>
      <c r="D10" s="363">
        <v>-24.27</v>
      </c>
    </row>
    <row r="11" spans="1:4">
      <c r="A11" s="362" t="s">
        <v>51</v>
      </c>
      <c r="B11" s="362" t="s">
        <v>123</v>
      </c>
      <c r="C11" s="362" t="s">
        <v>442</v>
      </c>
      <c r="D11" s="363">
        <v>-335.65</v>
      </c>
    </row>
    <row r="12" spans="1:4" ht="45">
      <c r="A12" s="362" t="s">
        <v>51</v>
      </c>
      <c r="B12" s="362" t="s">
        <v>74</v>
      </c>
      <c r="C12" s="362" t="s">
        <v>443</v>
      </c>
      <c r="D12" s="363">
        <v>-144</v>
      </c>
    </row>
    <row r="13" spans="1:4">
      <c r="A13" s="362" t="s">
        <v>51</v>
      </c>
      <c r="B13" s="362" t="s">
        <v>119</v>
      </c>
      <c r="C13" s="362" t="s">
        <v>224</v>
      </c>
      <c r="D13" s="363">
        <v>-389.18</v>
      </c>
    </row>
    <row r="14" spans="1:4">
      <c r="A14" s="362" t="s">
        <v>51</v>
      </c>
      <c r="B14" s="362" t="s">
        <v>126</v>
      </c>
      <c r="C14" s="362" t="s">
        <v>226</v>
      </c>
      <c r="D14" s="363">
        <v>-99.99</v>
      </c>
    </row>
    <row r="15" spans="1:4">
      <c r="A15" s="362" t="s">
        <v>51</v>
      </c>
      <c r="B15" s="362" t="s">
        <v>136</v>
      </c>
      <c r="C15" s="362" t="s">
        <v>138</v>
      </c>
      <c r="D15" s="363">
        <v>-678</v>
      </c>
    </row>
    <row r="16" spans="1:4" ht="30">
      <c r="A16" s="362" t="s">
        <v>51</v>
      </c>
      <c r="B16" s="362" t="s">
        <v>102</v>
      </c>
      <c r="C16" s="362" t="s">
        <v>444</v>
      </c>
      <c r="D16" s="363">
        <v>-99.24</v>
      </c>
    </row>
    <row r="17" spans="1:4" ht="30">
      <c r="A17" s="362" t="s">
        <v>51</v>
      </c>
      <c r="B17" s="362" t="s">
        <v>160</v>
      </c>
      <c r="C17" s="362" t="s">
        <v>227</v>
      </c>
      <c r="D17" s="363">
        <v>-477.24</v>
      </c>
    </row>
    <row r="18" spans="1:4">
      <c r="A18" s="362" t="s">
        <v>51</v>
      </c>
      <c r="B18" s="362" t="s">
        <v>143</v>
      </c>
      <c r="C18" s="362" t="s">
        <v>488</v>
      </c>
      <c r="D18" s="363">
        <v>-4000</v>
      </c>
    </row>
    <row r="19" spans="1:4">
      <c r="A19" s="362" t="s">
        <v>51</v>
      </c>
      <c r="B19" s="362" t="s">
        <v>51</v>
      </c>
      <c r="C19" s="362" t="s">
        <v>487</v>
      </c>
      <c r="D19" s="363">
        <v>-4000</v>
      </c>
    </row>
    <row r="20" spans="1:4">
      <c r="A20" s="362" t="s">
        <v>51</v>
      </c>
      <c r="B20" s="362" t="s">
        <v>49</v>
      </c>
      <c r="C20" s="362" t="s">
        <v>232</v>
      </c>
      <c r="D20" s="363">
        <v>203.79</v>
      </c>
    </row>
    <row r="21" spans="1:4">
      <c r="A21" s="362" t="s">
        <v>51</v>
      </c>
      <c r="B21" s="362" t="s">
        <v>51</v>
      </c>
      <c r="C21" s="362" t="s">
        <v>489</v>
      </c>
      <c r="D21" s="363">
        <v>2740.35</v>
      </c>
    </row>
    <row r="22" spans="1:4">
      <c r="A22" s="362" t="s">
        <v>51</v>
      </c>
      <c r="B22" s="362" t="s">
        <v>51</v>
      </c>
      <c r="C22" s="362" t="s">
        <v>446</v>
      </c>
      <c r="D22" s="363">
        <v>764.31790000000001</v>
      </c>
    </row>
    <row r="23" spans="1:4">
      <c r="A23" s="362" t="s">
        <v>51</v>
      </c>
      <c r="B23" s="362" t="s">
        <v>83</v>
      </c>
      <c r="C23" s="362" t="s">
        <v>235</v>
      </c>
      <c r="D23" s="363">
        <v>15.349999999999998</v>
      </c>
    </row>
    <row r="24" spans="1:4" ht="17">
      <c r="A24" s="362"/>
      <c r="B24" s="362"/>
      <c r="C24" s="364" t="s">
        <v>237</v>
      </c>
      <c r="D24" s="365">
        <f>SUM(D20:D23)</f>
        <v>3723.8078999999998</v>
      </c>
    </row>
    <row r="25" spans="1:4" ht="17">
      <c r="A25" s="362"/>
      <c r="B25" s="362"/>
      <c r="C25" s="366" t="s">
        <v>238</v>
      </c>
      <c r="D25" s="367">
        <f>SUM(D2:D19)</f>
        <v>-13951.71</v>
      </c>
    </row>
    <row r="26" spans="1:4" ht="17">
      <c r="A26" s="362"/>
      <c r="B26" s="362"/>
      <c r="C26" s="368" t="s">
        <v>239</v>
      </c>
      <c r="D26" s="369">
        <f>D24+D25</f>
        <v>-10227.902099999999</v>
      </c>
    </row>
    <row r="27" spans="1:4">
      <c r="A27" s="370" t="s">
        <v>34</v>
      </c>
      <c r="B27" s="370" t="s">
        <v>55</v>
      </c>
      <c r="C27" s="370" t="s">
        <v>447</v>
      </c>
      <c r="D27" s="371">
        <v>-706.56</v>
      </c>
    </row>
    <row r="28" spans="1:4">
      <c r="A28" s="370" t="s">
        <v>51</v>
      </c>
      <c r="B28" s="370" t="s">
        <v>51</v>
      </c>
      <c r="C28" s="370" t="s">
        <v>244</v>
      </c>
      <c r="D28" s="371">
        <v>-1190.01</v>
      </c>
    </row>
    <row r="29" spans="1:4">
      <c r="A29" s="370" t="s">
        <v>51</v>
      </c>
      <c r="B29" s="370" t="s">
        <v>51</v>
      </c>
      <c r="C29" s="370" t="s">
        <v>245</v>
      </c>
      <c r="D29" s="371">
        <v>-738.75</v>
      </c>
    </row>
    <row r="30" spans="1:4">
      <c r="A30" s="370" t="s">
        <v>51</v>
      </c>
      <c r="B30" s="370" t="s">
        <v>51</v>
      </c>
      <c r="C30" s="370" t="s">
        <v>246</v>
      </c>
      <c r="D30" s="371">
        <v>-541.88</v>
      </c>
    </row>
    <row r="31" spans="1:4">
      <c r="A31" s="370" t="s">
        <v>51</v>
      </c>
      <c r="B31" s="370" t="s">
        <v>51</v>
      </c>
      <c r="C31" s="370" t="s">
        <v>247</v>
      </c>
      <c r="D31" s="371">
        <v>-140.25</v>
      </c>
    </row>
    <row r="32" spans="1:4">
      <c r="A32" s="370" t="s">
        <v>51</v>
      </c>
      <c r="B32" s="370" t="s">
        <v>74</v>
      </c>
      <c r="C32" s="370" t="s">
        <v>448</v>
      </c>
      <c r="D32" s="371">
        <v>-196.19</v>
      </c>
    </row>
    <row r="33" spans="1:4">
      <c r="A33" s="370" t="s">
        <v>51</v>
      </c>
      <c r="B33" s="370" t="s">
        <v>209</v>
      </c>
      <c r="C33" s="370" t="s">
        <v>340</v>
      </c>
      <c r="D33" s="371">
        <v>-2483.91</v>
      </c>
    </row>
    <row r="34" spans="1:4">
      <c r="A34" s="370" t="s">
        <v>51</v>
      </c>
      <c r="B34" s="370" t="s">
        <v>102</v>
      </c>
      <c r="C34" s="370" t="s">
        <v>449</v>
      </c>
      <c r="D34" s="371">
        <v>-30.9</v>
      </c>
    </row>
    <row r="35" spans="1:4">
      <c r="A35" s="370" t="s">
        <v>51</v>
      </c>
      <c r="B35" s="370" t="s">
        <v>49</v>
      </c>
      <c r="C35" s="370" t="s">
        <v>450</v>
      </c>
      <c r="D35" s="371">
        <v>240</v>
      </c>
    </row>
    <row r="36" spans="1:4">
      <c r="A36" s="370" t="s">
        <v>51</v>
      </c>
      <c r="B36" s="370" t="s">
        <v>51</v>
      </c>
      <c r="C36" s="370" t="s">
        <v>451</v>
      </c>
      <c r="D36" s="371">
        <v>2172.79</v>
      </c>
    </row>
    <row r="37" spans="1:4">
      <c r="A37" s="370" t="s">
        <v>51</v>
      </c>
      <c r="B37" s="370" t="s">
        <v>51</v>
      </c>
      <c r="C37" s="370" t="s">
        <v>452</v>
      </c>
      <c r="D37" s="371">
        <v>1662.5</v>
      </c>
    </row>
    <row r="38" spans="1:4">
      <c r="A38" s="370" t="s">
        <v>51</v>
      </c>
      <c r="B38" s="370" t="s">
        <v>51</v>
      </c>
      <c r="C38" s="370" t="s">
        <v>453</v>
      </c>
      <c r="D38" s="371">
        <v>8850</v>
      </c>
    </row>
    <row r="39" spans="1:4">
      <c r="A39" s="370" t="s">
        <v>51</v>
      </c>
      <c r="B39" s="370" t="s">
        <v>76</v>
      </c>
      <c r="C39" s="370" t="s">
        <v>454</v>
      </c>
      <c r="D39" s="371">
        <v>-99</v>
      </c>
    </row>
    <row r="40" spans="1:4" ht="17">
      <c r="A40" s="370"/>
      <c r="B40" s="370"/>
      <c r="C40" s="372" t="s">
        <v>237</v>
      </c>
      <c r="D40" s="373">
        <f>SUM(D35:D38)</f>
        <v>12925.29</v>
      </c>
    </row>
    <row r="41" spans="1:4" ht="17">
      <c r="A41" s="370"/>
      <c r="B41" s="370"/>
      <c r="C41" s="374" t="s">
        <v>238</v>
      </c>
      <c r="D41" s="375">
        <f>SUM(D27:D34)+D39</f>
        <v>-6127.4499999999989</v>
      </c>
    </row>
    <row r="42" spans="1:4" ht="17">
      <c r="A42" s="370"/>
      <c r="B42" s="370"/>
      <c r="C42" s="376" t="s">
        <v>239</v>
      </c>
      <c r="D42" s="377">
        <f>D40+D41</f>
        <v>6797.840000000002</v>
      </c>
    </row>
    <row r="43" spans="1:4">
      <c r="A43" s="362" t="s">
        <v>35</v>
      </c>
      <c r="B43" s="362" t="s">
        <v>55</v>
      </c>
      <c r="C43" s="362" t="s">
        <v>258</v>
      </c>
      <c r="D43" s="363">
        <v>-1713.59</v>
      </c>
    </row>
    <row r="44" spans="1:4">
      <c r="A44" s="362" t="s">
        <v>51</v>
      </c>
      <c r="B44" s="362" t="s">
        <v>73</v>
      </c>
      <c r="C44" s="362" t="s">
        <v>446</v>
      </c>
      <c r="D44" s="363">
        <v>-486.55869999999999</v>
      </c>
    </row>
    <row r="45" spans="1:4">
      <c r="A45" s="362" t="s">
        <v>51</v>
      </c>
      <c r="B45" s="362" t="s">
        <v>49</v>
      </c>
      <c r="C45" s="362" t="s">
        <v>446</v>
      </c>
      <c r="D45" s="363">
        <v>7147.4808000000003</v>
      </c>
    </row>
    <row r="46" spans="1:4" ht="17">
      <c r="A46" s="362"/>
      <c r="B46" s="362"/>
      <c r="C46" s="364" t="s">
        <v>237</v>
      </c>
      <c r="D46" s="365">
        <f>SUM(D45)</f>
        <v>7147.4808000000003</v>
      </c>
    </row>
    <row r="47" spans="1:4" ht="17">
      <c r="A47" s="362"/>
      <c r="B47" s="362"/>
      <c r="C47" s="366" t="s">
        <v>238</v>
      </c>
      <c r="D47" s="367">
        <f>SUM(D43:D44)</f>
        <v>-2200.1486999999997</v>
      </c>
    </row>
    <row r="48" spans="1:4" ht="17">
      <c r="A48" s="362"/>
      <c r="B48" s="362"/>
      <c r="C48" s="368" t="s">
        <v>239</v>
      </c>
      <c r="D48" s="369">
        <f>D46+D47</f>
        <v>4947.3321000000005</v>
      </c>
    </row>
    <row r="49" spans="1:4">
      <c r="A49" s="370" t="s">
        <v>151</v>
      </c>
      <c r="B49" s="370" t="s">
        <v>55</v>
      </c>
      <c r="C49" s="370" t="s">
        <v>455</v>
      </c>
      <c r="D49" s="371">
        <v>-3187.5</v>
      </c>
    </row>
    <row r="50" spans="1:4">
      <c r="A50" s="370" t="s">
        <v>51</v>
      </c>
      <c r="B50" s="370" t="s">
        <v>49</v>
      </c>
      <c r="C50" s="370" t="s">
        <v>456</v>
      </c>
      <c r="D50" s="371">
        <v>7500</v>
      </c>
    </row>
    <row r="51" spans="1:4">
      <c r="A51" s="370" t="s">
        <v>51</v>
      </c>
      <c r="B51" s="370" t="s">
        <v>51</v>
      </c>
      <c r="C51" s="370" t="s">
        <v>457</v>
      </c>
      <c r="D51" s="371">
        <v>2500</v>
      </c>
    </row>
    <row r="52" spans="1:4" ht="17">
      <c r="A52" s="370"/>
      <c r="B52" s="370"/>
      <c r="C52" s="372" t="s">
        <v>237</v>
      </c>
      <c r="D52" s="373">
        <f>SUM(D50:D51)</f>
        <v>10000</v>
      </c>
    </row>
    <row r="53" spans="1:4" ht="17">
      <c r="A53" s="370"/>
      <c r="B53" s="370"/>
      <c r="C53" s="374" t="s">
        <v>238</v>
      </c>
      <c r="D53" s="375">
        <f>SUM(D49)</f>
        <v>-3187.5</v>
      </c>
    </row>
    <row r="54" spans="1:4" ht="17">
      <c r="A54" s="370"/>
      <c r="B54" s="370"/>
      <c r="C54" s="376" t="s">
        <v>239</v>
      </c>
      <c r="D54" s="377">
        <f>D52+D53</f>
        <v>6812.5</v>
      </c>
    </row>
    <row r="55" spans="1:4">
      <c r="A55" s="362" t="s">
        <v>148</v>
      </c>
      <c r="B55" s="362" t="s">
        <v>55</v>
      </c>
      <c r="C55" s="362" t="s">
        <v>259</v>
      </c>
      <c r="D55" s="363">
        <v>-2924.11</v>
      </c>
    </row>
    <row r="56" spans="1:4">
      <c r="A56" s="362" t="s">
        <v>51</v>
      </c>
      <c r="B56" s="362" t="s">
        <v>49</v>
      </c>
      <c r="C56" s="362" t="s">
        <v>232</v>
      </c>
      <c r="D56" s="363">
        <v>9240.93</v>
      </c>
    </row>
    <row r="57" spans="1:4" ht="17">
      <c r="A57" s="362"/>
      <c r="B57" s="362"/>
      <c r="C57" s="364" t="s">
        <v>237</v>
      </c>
      <c r="D57" s="365">
        <f>SUM(D56)</f>
        <v>9240.93</v>
      </c>
    </row>
    <row r="58" spans="1:4" ht="17">
      <c r="A58" s="362"/>
      <c r="B58" s="362"/>
      <c r="C58" s="366" t="s">
        <v>238</v>
      </c>
      <c r="D58" s="367">
        <f>SUM(D55)</f>
        <v>-2924.11</v>
      </c>
    </row>
    <row r="59" spans="1:4" ht="17">
      <c r="A59" s="362"/>
      <c r="B59" s="362"/>
      <c r="C59" s="368" t="s">
        <v>239</v>
      </c>
      <c r="D59" s="369">
        <f>D57+D58</f>
        <v>6316.82</v>
      </c>
    </row>
    <row r="60" spans="1:4">
      <c r="A60" s="370" t="s">
        <v>81</v>
      </c>
      <c r="B60" s="370" t="s">
        <v>121</v>
      </c>
      <c r="C60" s="370" t="s">
        <v>262</v>
      </c>
      <c r="D60" s="371">
        <v>-2019.95</v>
      </c>
    </row>
    <row r="61" spans="1:4">
      <c r="A61" s="370" t="s">
        <v>51</v>
      </c>
      <c r="B61" s="370" t="s">
        <v>106</v>
      </c>
      <c r="C61" s="370" t="s">
        <v>458</v>
      </c>
      <c r="D61" s="371">
        <v>-399.89</v>
      </c>
    </row>
    <row r="62" spans="1:4">
      <c r="A62" s="370" t="s">
        <v>51</v>
      </c>
      <c r="B62" s="370" t="s">
        <v>51</v>
      </c>
      <c r="C62" s="370" t="s">
        <v>459</v>
      </c>
      <c r="D62" s="371">
        <v>-54.08</v>
      </c>
    </row>
    <row r="63" spans="1:4">
      <c r="A63" s="370" t="s">
        <v>51</v>
      </c>
      <c r="B63" s="370" t="s">
        <v>55</v>
      </c>
      <c r="C63" s="370" t="s">
        <v>269</v>
      </c>
      <c r="D63" s="371">
        <v>-10804.31</v>
      </c>
    </row>
    <row r="64" spans="1:4">
      <c r="A64" s="370" t="s">
        <v>51</v>
      </c>
      <c r="B64" s="370" t="s">
        <v>51</v>
      </c>
      <c r="C64" s="370" t="s">
        <v>460</v>
      </c>
      <c r="D64" s="371">
        <v>-1061.71</v>
      </c>
    </row>
    <row r="65" spans="1:4">
      <c r="A65" s="370" t="s">
        <v>51</v>
      </c>
      <c r="B65" s="370" t="s">
        <v>51</v>
      </c>
      <c r="C65" s="370" t="s">
        <v>461</v>
      </c>
      <c r="D65" s="371">
        <v>-1078.96</v>
      </c>
    </row>
    <row r="66" spans="1:4">
      <c r="A66" s="370" t="s">
        <v>51</v>
      </c>
      <c r="B66" s="370" t="s">
        <v>51</v>
      </c>
      <c r="C66" s="370" t="s">
        <v>462</v>
      </c>
      <c r="D66" s="371">
        <v>-845.53</v>
      </c>
    </row>
    <row r="67" spans="1:4">
      <c r="A67" s="370" t="s">
        <v>51</v>
      </c>
      <c r="B67" s="370" t="s">
        <v>51</v>
      </c>
      <c r="C67" s="370" t="s">
        <v>463</v>
      </c>
      <c r="D67" s="371">
        <v>-3000</v>
      </c>
    </row>
    <row r="68" spans="1:4" ht="30">
      <c r="A68" s="370" t="s">
        <v>51</v>
      </c>
      <c r="B68" s="370" t="s">
        <v>51</v>
      </c>
      <c r="C68" s="370" t="s">
        <v>464</v>
      </c>
      <c r="D68" s="371">
        <v>-7555.42</v>
      </c>
    </row>
    <row r="69" spans="1:4">
      <c r="A69" s="370" t="s">
        <v>51</v>
      </c>
      <c r="B69" s="370" t="s">
        <v>51</v>
      </c>
      <c r="C69" s="370" t="s">
        <v>272</v>
      </c>
      <c r="D69" s="371">
        <v>-600</v>
      </c>
    </row>
    <row r="70" spans="1:4" ht="30">
      <c r="A70" s="370" t="s">
        <v>51</v>
      </c>
      <c r="B70" s="370" t="s">
        <v>51</v>
      </c>
      <c r="C70" s="370" t="s">
        <v>465</v>
      </c>
      <c r="D70" s="371">
        <v>-900</v>
      </c>
    </row>
    <row r="71" spans="1:4">
      <c r="A71" s="370" t="s">
        <v>51</v>
      </c>
      <c r="B71" s="370" t="s">
        <v>123</v>
      </c>
      <c r="C71" s="370" t="s">
        <v>442</v>
      </c>
      <c r="D71" s="371">
        <v>-1342.6</v>
      </c>
    </row>
    <row r="72" spans="1:4" ht="30">
      <c r="A72" s="370" t="s">
        <v>51</v>
      </c>
      <c r="B72" s="370" t="s">
        <v>51</v>
      </c>
      <c r="C72" s="370" t="s">
        <v>466</v>
      </c>
      <c r="D72" s="371">
        <v>-1300.5999999999999</v>
      </c>
    </row>
    <row r="73" spans="1:4">
      <c r="A73" s="370" t="s">
        <v>51</v>
      </c>
      <c r="B73" s="370" t="s">
        <v>51</v>
      </c>
      <c r="C73" s="370" t="s">
        <v>467</v>
      </c>
      <c r="D73" s="371">
        <v>-500</v>
      </c>
    </row>
    <row r="74" spans="1:4">
      <c r="A74" s="370" t="s">
        <v>51</v>
      </c>
      <c r="B74" s="370" t="s">
        <v>51</v>
      </c>
      <c r="C74" s="370" t="s">
        <v>468</v>
      </c>
      <c r="D74" s="371">
        <v>-650</v>
      </c>
    </row>
    <row r="75" spans="1:4" ht="30">
      <c r="A75" s="370" t="s">
        <v>51</v>
      </c>
      <c r="B75" s="370" t="s">
        <v>51</v>
      </c>
      <c r="C75" s="370" t="s">
        <v>469</v>
      </c>
      <c r="D75" s="371">
        <v>-257.87</v>
      </c>
    </row>
    <row r="76" spans="1:4">
      <c r="A76" s="370" t="s">
        <v>51</v>
      </c>
      <c r="B76" s="370" t="s">
        <v>51</v>
      </c>
      <c r="C76" s="370" t="s">
        <v>470</v>
      </c>
      <c r="D76" s="371">
        <v>-84</v>
      </c>
    </row>
    <row r="77" spans="1:4">
      <c r="A77" s="370" t="s">
        <v>51</v>
      </c>
      <c r="B77" s="370" t="s">
        <v>104</v>
      </c>
      <c r="C77" s="370" t="s">
        <v>278</v>
      </c>
      <c r="D77" s="371">
        <v>-432.29</v>
      </c>
    </row>
    <row r="78" spans="1:4">
      <c r="A78" s="370" t="s">
        <v>51</v>
      </c>
      <c r="B78" s="370" t="s">
        <v>74</v>
      </c>
      <c r="C78" s="370" t="s">
        <v>471</v>
      </c>
      <c r="D78" s="371">
        <v>-300</v>
      </c>
    </row>
    <row r="79" spans="1:4">
      <c r="A79" s="370" t="s">
        <v>51</v>
      </c>
      <c r="B79" s="370" t="s">
        <v>51</v>
      </c>
      <c r="C79" s="370" t="s">
        <v>361</v>
      </c>
      <c r="D79" s="371">
        <v>-3000</v>
      </c>
    </row>
    <row r="80" spans="1:4">
      <c r="A80" s="370" t="s">
        <v>51</v>
      </c>
      <c r="B80" s="370" t="s">
        <v>51</v>
      </c>
      <c r="C80" s="370" t="s">
        <v>281</v>
      </c>
      <c r="D80" s="371">
        <v>-461.62</v>
      </c>
    </row>
    <row r="81" spans="1:4" ht="45">
      <c r="A81" s="370" t="s">
        <v>51</v>
      </c>
      <c r="B81" s="370" t="s">
        <v>51</v>
      </c>
      <c r="C81" s="370" t="s">
        <v>443</v>
      </c>
      <c r="D81" s="371">
        <v>-571.48</v>
      </c>
    </row>
    <row r="82" spans="1:4" ht="30">
      <c r="A82" s="370" t="s">
        <v>51</v>
      </c>
      <c r="B82" s="370" t="s">
        <v>51</v>
      </c>
      <c r="C82" s="370" t="s">
        <v>283</v>
      </c>
      <c r="D82" s="371">
        <v>-249.75</v>
      </c>
    </row>
    <row r="83" spans="1:4">
      <c r="A83" s="370" t="s">
        <v>51</v>
      </c>
      <c r="B83" s="370" t="s">
        <v>119</v>
      </c>
      <c r="C83" s="370" t="s">
        <v>119</v>
      </c>
      <c r="D83" s="371">
        <v>-725.96</v>
      </c>
    </row>
    <row r="84" spans="1:4">
      <c r="A84" s="370" t="s">
        <v>51</v>
      </c>
      <c r="B84" s="370" t="s">
        <v>85</v>
      </c>
      <c r="C84" s="370" t="s">
        <v>285</v>
      </c>
      <c r="D84" s="371">
        <v>-63.91</v>
      </c>
    </row>
    <row r="85" spans="1:4">
      <c r="A85" s="370" t="s">
        <v>51</v>
      </c>
      <c r="B85" s="370" t="s">
        <v>90</v>
      </c>
      <c r="C85" s="370" t="s">
        <v>288</v>
      </c>
      <c r="D85" s="371">
        <v>-203.28</v>
      </c>
    </row>
    <row r="86" spans="1:4">
      <c r="A86" s="370" t="s">
        <v>51</v>
      </c>
      <c r="B86" s="370" t="s">
        <v>87</v>
      </c>
      <c r="C86" s="370" t="s">
        <v>289</v>
      </c>
      <c r="D86" s="371">
        <v>-40</v>
      </c>
    </row>
    <row r="87" spans="1:4">
      <c r="A87" s="370" t="s">
        <v>51</v>
      </c>
      <c r="B87" s="370" t="s">
        <v>51</v>
      </c>
      <c r="C87" s="370" t="s">
        <v>290</v>
      </c>
      <c r="D87" s="371">
        <v>-150</v>
      </c>
    </row>
    <row r="88" spans="1:4">
      <c r="A88" s="370" t="s">
        <v>51</v>
      </c>
      <c r="B88" s="370" t="s">
        <v>113</v>
      </c>
      <c r="C88" s="370" t="s">
        <v>292</v>
      </c>
      <c r="D88" s="371">
        <v>-200</v>
      </c>
    </row>
    <row r="89" spans="1:4">
      <c r="A89" s="370" t="s">
        <v>51</v>
      </c>
      <c r="B89" s="370" t="s">
        <v>73</v>
      </c>
      <c r="C89" s="370" t="s">
        <v>445</v>
      </c>
      <c r="D89" s="371">
        <v>-3950.96</v>
      </c>
    </row>
    <row r="90" spans="1:4">
      <c r="A90" s="370" t="s">
        <v>51</v>
      </c>
      <c r="B90" s="370" t="s">
        <v>92</v>
      </c>
      <c r="C90" s="370" t="s">
        <v>294</v>
      </c>
      <c r="D90" s="371">
        <v>-204.37</v>
      </c>
    </row>
    <row r="91" spans="1:4">
      <c r="A91" s="370" t="s">
        <v>51</v>
      </c>
      <c r="B91" s="370" t="s">
        <v>126</v>
      </c>
      <c r="C91" s="370" t="s">
        <v>472</v>
      </c>
      <c r="D91" s="371">
        <v>-24.24</v>
      </c>
    </row>
    <row r="92" spans="1:4">
      <c r="A92" s="370" t="s">
        <v>51</v>
      </c>
      <c r="B92" s="370" t="s">
        <v>51</v>
      </c>
      <c r="C92" s="370" t="s">
        <v>298</v>
      </c>
      <c r="D92" s="371">
        <v>-50</v>
      </c>
    </row>
    <row r="93" spans="1:4">
      <c r="A93" s="370" t="s">
        <v>51</v>
      </c>
      <c r="B93" s="370" t="s">
        <v>51</v>
      </c>
      <c r="C93" s="370" t="s">
        <v>299</v>
      </c>
      <c r="D93" s="371">
        <v>-99.9</v>
      </c>
    </row>
    <row r="94" spans="1:4">
      <c r="A94" s="370" t="s">
        <v>51</v>
      </c>
      <c r="B94" s="370" t="s">
        <v>51</v>
      </c>
      <c r="C94" s="370" t="s">
        <v>300</v>
      </c>
      <c r="D94" s="371">
        <v>-230.68</v>
      </c>
    </row>
    <row r="95" spans="1:4">
      <c r="A95" s="370" t="s">
        <v>51</v>
      </c>
      <c r="B95" s="370" t="s">
        <v>51</v>
      </c>
      <c r="C95" s="370" t="s">
        <v>368</v>
      </c>
      <c r="D95" s="371">
        <v>-607.04</v>
      </c>
    </row>
    <row r="96" spans="1:4">
      <c r="A96" s="370" t="s">
        <v>51</v>
      </c>
      <c r="B96" s="370" t="s">
        <v>51</v>
      </c>
      <c r="C96" s="370" t="s">
        <v>302</v>
      </c>
      <c r="D96" s="371">
        <v>-38</v>
      </c>
    </row>
    <row r="97" spans="1:4">
      <c r="A97" s="370" t="s">
        <v>51</v>
      </c>
      <c r="B97" s="370" t="s">
        <v>139</v>
      </c>
      <c r="C97" s="370" t="s">
        <v>139</v>
      </c>
      <c r="D97" s="371">
        <v>-4116.0200000000004</v>
      </c>
    </row>
    <row r="98" spans="1:4">
      <c r="A98" s="370" t="s">
        <v>51</v>
      </c>
      <c r="B98" s="370" t="s">
        <v>98</v>
      </c>
      <c r="C98" s="370" t="s">
        <v>473</v>
      </c>
      <c r="D98" s="371">
        <v>-62.3</v>
      </c>
    </row>
    <row r="99" spans="1:4" ht="30">
      <c r="A99" s="370" t="s">
        <v>51</v>
      </c>
      <c r="B99" s="370" t="s">
        <v>136</v>
      </c>
      <c r="C99" s="370" t="s">
        <v>474</v>
      </c>
      <c r="D99" s="371">
        <v>-1436.34</v>
      </c>
    </row>
    <row r="100" spans="1:4">
      <c r="A100" s="370" t="s">
        <v>51</v>
      </c>
      <c r="B100" s="370" t="s">
        <v>51</v>
      </c>
      <c r="C100" s="370" t="s">
        <v>475</v>
      </c>
      <c r="D100" s="371">
        <v>-449.9</v>
      </c>
    </row>
    <row r="101" spans="1:4">
      <c r="A101" s="370" t="s">
        <v>51</v>
      </c>
      <c r="B101" s="370" t="s">
        <v>51</v>
      </c>
      <c r="C101" s="370" t="s">
        <v>370</v>
      </c>
      <c r="D101" s="371">
        <v>-230.56</v>
      </c>
    </row>
    <row r="102" spans="1:4">
      <c r="A102" s="370" t="s">
        <v>51</v>
      </c>
      <c r="B102" s="370" t="s">
        <v>51</v>
      </c>
      <c r="C102" s="370" t="s">
        <v>476</v>
      </c>
      <c r="D102" s="371">
        <v>-2711.46</v>
      </c>
    </row>
    <row r="103" spans="1:4">
      <c r="A103" s="370" t="s">
        <v>51</v>
      </c>
      <c r="B103" s="370" t="s">
        <v>51</v>
      </c>
      <c r="C103" s="370" t="s">
        <v>477</v>
      </c>
      <c r="D103" s="371">
        <v>-470.4</v>
      </c>
    </row>
    <row r="104" spans="1:4" ht="30">
      <c r="A104" s="370" t="s">
        <v>51</v>
      </c>
      <c r="B104" s="370" t="s">
        <v>51</v>
      </c>
      <c r="C104" s="370" t="s">
        <v>478</v>
      </c>
      <c r="D104" s="371">
        <v>-49.98</v>
      </c>
    </row>
    <row r="105" spans="1:4" ht="30">
      <c r="A105" s="370" t="s">
        <v>51</v>
      </c>
      <c r="B105" s="370" t="s">
        <v>51</v>
      </c>
      <c r="C105" s="370" t="s">
        <v>479</v>
      </c>
      <c r="D105" s="371">
        <v>-500</v>
      </c>
    </row>
    <row r="106" spans="1:4" ht="30">
      <c r="A106" s="370" t="s">
        <v>51</v>
      </c>
      <c r="B106" s="370" t="s">
        <v>51</v>
      </c>
      <c r="C106" s="370" t="s">
        <v>480</v>
      </c>
      <c r="D106" s="371">
        <v>-500</v>
      </c>
    </row>
    <row r="107" spans="1:4">
      <c r="A107" s="370" t="s">
        <v>51</v>
      </c>
      <c r="B107" s="370" t="s">
        <v>51</v>
      </c>
      <c r="C107" s="370" t="s">
        <v>481</v>
      </c>
      <c r="D107" s="371">
        <v>-434.66</v>
      </c>
    </row>
    <row r="108" spans="1:4">
      <c r="A108" s="370" t="s">
        <v>51</v>
      </c>
      <c r="B108" s="370" t="s">
        <v>115</v>
      </c>
      <c r="C108" s="370" t="s">
        <v>309</v>
      </c>
      <c r="D108" s="371">
        <v>-805.14</v>
      </c>
    </row>
    <row r="109" spans="1:4">
      <c r="A109" s="370" t="s">
        <v>51</v>
      </c>
      <c r="B109" s="370" t="s">
        <v>102</v>
      </c>
      <c r="C109" s="370" t="s">
        <v>482</v>
      </c>
      <c r="D109" s="371">
        <v>-311.44</v>
      </c>
    </row>
    <row r="110" spans="1:4">
      <c r="A110" s="370" t="s">
        <v>51</v>
      </c>
      <c r="B110" s="370" t="s">
        <v>51</v>
      </c>
      <c r="C110" s="370" t="s">
        <v>374</v>
      </c>
      <c r="D110" s="371">
        <v>-59.5</v>
      </c>
    </row>
    <row r="111" spans="1:4">
      <c r="A111" s="370" t="s">
        <v>51</v>
      </c>
      <c r="B111" s="370" t="s">
        <v>51</v>
      </c>
      <c r="C111" s="370" t="s">
        <v>375</v>
      </c>
      <c r="D111" s="371">
        <v>-144.34</v>
      </c>
    </row>
    <row r="112" spans="1:4">
      <c r="A112" s="370" t="s">
        <v>51</v>
      </c>
      <c r="B112" s="370" t="s">
        <v>94</v>
      </c>
      <c r="C112" s="370" t="s">
        <v>483</v>
      </c>
      <c r="D112" s="371">
        <v>-282.44</v>
      </c>
    </row>
    <row r="113" spans="1:4">
      <c r="A113" s="370" t="s">
        <v>51</v>
      </c>
      <c r="B113" s="370" t="s">
        <v>51</v>
      </c>
      <c r="C113" s="370" t="s">
        <v>441</v>
      </c>
      <c r="D113" s="371">
        <v>-227.16</v>
      </c>
    </row>
    <row r="114" spans="1:4">
      <c r="A114" s="370" t="s">
        <v>51</v>
      </c>
      <c r="B114" s="370" t="s">
        <v>117</v>
      </c>
      <c r="C114" s="370" t="s">
        <v>313</v>
      </c>
      <c r="D114" s="371">
        <v>-1000</v>
      </c>
    </row>
    <row r="115" spans="1:4">
      <c r="A115" s="370" t="s">
        <v>51</v>
      </c>
      <c r="B115" s="370" t="s">
        <v>143</v>
      </c>
      <c r="C115" s="370" t="s">
        <v>314</v>
      </c>
      <c r="D115" s="371">
        <v>-7000</v>
      </c>
    </row>
    <row r="116" spans="1:4">
      <c r="A116" s="370" t="s">
        <v>51</v>
      </c>
      <c r="B116" s="370" t="s">
        <v>51</v>
      </c>
      <c r="C116" s="370" t="s">
        <v>315</v>
      </c>
      <c r="D116" s="371">
        <v>-8000</v>
      </c>
    </row>
    <row r="117" spans="1:4" ht="30">
      <c r="A117" s="370" t="s">
        <v>51</v>
      </c>
      <c r="B117" s="370" t="s">
        <v>49</v>
      </c>
      <c r="C117" s="370" t="s">
        <v>380</v>
      </c>
      <c r="D117" s="371">
        <v>2157.92</v>
      </c>
    </row>
    <row r="118" spans="1:4" ht="60">
      <c r="A118" s="370" t="s">
        <v>51</v>
      </c>
      <c r="B118" s="370" t="s">
        <v>51</v>
      </c>
      <c r="C118" s="370" t="s">
        <v>484</v>
      </c>
      <c r="D118" s="371">
        <v>5000</v>
      </c>
    </row>
    <row r="119" spans="1:4">
      <c r="A119" s="370" t="s">
        <v>51</v>
      </c>
      <c r="B119" s="370" t="s">
        <v>51</v>
      </c>
      <c r="C119" s="370" t="s">
        <v>445</v>
      </c>
      <c r="D119" s="371">
        <v>61502.81</v>
      </c>
    </row>
    <row r="120" spans="1:4">
      <c r="A120" s="370" t="s">
        <v>51</v>
      </c>
      <c r="B120" s="370" t="s">
        <v>110</v>
      </c>
      <c r="C120" s="370" t="s">
        <v>485</v>
      </c>
      <c r="D120" s="371">
        <v>-500</v>
      </c>
    </row>
    <row r="121" spans="1:4">
      <c r="A121" s="370" t="s">
        <v>51</v>
      </c>
      <c r="B121" s="370" t="s">
        <v>83</v>
      </c>
      <c r="C121" s="370" t="s">
        <v>235</v>
      </c>
      <c r="D121" s="371">
        <v>2.6199999999999997</v>
      </c>
    </row>
    <row r="122" spans="1:4">
      <c r="A122" s="370" t="s">
        <v>51</v>
      </c>
      <c r="B122" s="370" t="s">
        <v>79</v>
      </c>
      <c r="C122" s="370" t="s">
        <v>321</v>
      </c>
      <c r="D122" s="371">
        <v>-2500</v>
      </c>
    </row>
    <row r="123" spans="1:4">
      <c r="A123" s="370" t="s">
        <v>51</v>
      </c>
      <c r="B123" s="370" t="s">
        <v>51</v>
      </c>
      <c r="C123" s="370" t="s">
        <v>322</v>
      </c>
      <c r="D123" s="371">
        <v>-2000</v>
      </c>
    </row>
    <row r="124" spans="1:4">
      <c r="A124" s="370" t="s">
        <v>51</v>
      </c>
      <c r="B124" s="370" t="s">
        <v>51</v>
      </c>
      <c r="C124" s="370" t="s">
        <v>324</v>
      </c>
      <c r="D124" s="371">
        <v>-2336.63</v>
      </c>
    </row>
    <row r="125" spans="1:4">
      <c r="A125" s="370" t="s">
        <v>51</v>
      </c>
      <c r="B125" s="370" t="s">
        <v>125</v>
      </c>
      <c r="C125" s="370" t="s">
        <v>325</v>
      </c>
      <c r="D125" s="371">
        <v>-3611.35</v>
      </c>
    </row>
    <row r="126" spans="1:4">
      <c r="A126" s="370" t="s">
        <v>51</v>
      </c>
      <c r="B126" s="370" t="s">
        <v>65</v>
      </c>
      <c r="C126" s="370" t="s">
        <v>486</v>
      </c>
      <c r="D126" s="371">
        <v>-41.06</v>
      </c>
    </row>
    <row r="127" spans="1:4" ht="17">
      <c r="A127" s="370"/>
      <c r="B127" s="370"/>
      <c r="C127" s="372" t="s">
        <v>237</v>
      </c>
      <c r="D127" s="373">
        <f>SUM(D117:D119)</f>
        <v>68660.73</v>
      </c>
    </row>
    <row r="128" spans="1:4" ht="17">
      <c r="A128" s="370"/>
      <c r="B128" s="370"/>
      <c r="C128" s="374" t="s">
        <v>238</v>
      </c>
      <c r="D128" s="375">
        <f>SUM(D60:D116)+SUM(D120:D126)</f>
        <v>-83836.460000000006</v>
      </c>
    </row>
    <row r="129" spans="1:4" ht="17">
      <c r="A129" s="370"/>
      <c r="B129" s="370"/>
      <c r="C129" s="376" t="s">
        <v>239</v>
      </c>
      <c r="D129" s="377">
        <f>D127+D128</f>
        <v>-15175.73000000001</v>
      </c>
    </row>
    <row r="130" spans="1:4" ht="20">
      <c r="A130" s="407" t="s">
        <v>164</v>
      </c>
      <c r="B130" s="408"/>
      <c r="C130" s="409"/>
      <c r="D130" s="378">
        <v>-529.14</v>
      </c>
    </row>
  </sheetData>
  <mergeCells count="1">
    <mergeCell ref="A130:C130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CCEAD-4926-4918-9CF5-A003AE546891}">
  <dimension ref="A1:AF28"/>
  <sheetViews>
    <sheetView zoomScale="85" zoomScaleNormal="85" workbookViewId="0">
      <pane xSplit="11" ySplit="3" topLeftCell="P4" activePane="bottomRight" state="frozen"/>
      <selection pane="topRight" activeCell="L1" sqref="L1"/>
      <selection pane="bottomLeft" activeCell="A4" sqref="A4"/>
      <selection pane="bottomRight" activeCell="Q42" sqref="Q42"/>
    </sheetView>
  </sheetViews>
  <sheetFormatPr baseColWidth="10" defaultColWidth="8.83203125" defaultRowHeight="15"/>
  <cols>
    <col min="1" max="1" width="27.6640625" customWidth="1"/>
    <col min="2" max="2" width="14.5" hidden="1" customWidth="1"/>
    <col min="3" max="3" width="7.83203125" hidden="1" customWidth="1"/>
    <col min="4" max="4" width="8.5" hidden="1" customWidth="1"/>
    <col min="5" max="5" width="7.83203125" style="50" hidden="1" customWidth="1"/>
    <col min="6" max="6" width="8" hidden="1" customWidth="1"/>
    <col min="7" max="7" width="7.83203125" hidden="1" customWidth="1"/>
    <col min="8" max="8" width="7.83203125" style="50" hidden="1" customWidth="1"/>
    <col min="9" max="10" width="14.5" hidden="1" customWidth="1"/>
    <col min="11" max="11" width="13.5" hidden="1" customWidth="1"/>
    <col min="12" max="12" width="15.33203125" bestFit="1" customWidth="1"/>
    <col min="13" max="14" width="14.5" bestFit="1" customWidth="1"/>
    <col min="15" max="15" width="15.33203125" bestFit="1" customWidth="1"/>
    <col min="16" max="16" width="14.5" bestFit="1" customWidth="1"/>
    <col min="17" max="17" width="14.1640625" bestFit="1" customWidth="1"/>
    <col min="18" max="18" width="15.33203125" bestFit="1" customWidth="1"/>
    <col min="19" max="20" width="14.5" bestFit="1" customWidth="1"/>
    <col min="21" max="21" width="15.33203125" bestFit="1" customWidth="1"/>
    <col min="22" max="22" width="15.5" bestFit="1" customWidth="1"/>
    <col min="23" max="23" width="14.1640625" bestFit="1" customWidth="1"/>
    <col min="24" max="24" width="15.33203125" bestFit="1" customWidth="1"/>
    <col min="25" max="25" width="15.5" bestFit="1" customWidth="1"/>
    <col min="26" max="26" width="14.5" bestFit="1" customWidth="1"/>
    <col min="27" max="27" width="15.33203125" bestFit="1" customWidth="1"/>
    <col min="28" max="28" width="15.5" bestFit="1" customWidth="1"/>
    <col min="29" max="29" width="14.1640625" bestFit="1" customWidth="1"/>
    <col min="30" max="30" width="15.33203125" bestFit="1" customWidth="1"/>
    <col min="31" max="31" width="15.5" bestFit="1" customWidth="1"/>
    <col min="32" max="32" width="15.33203125" customWidth="1"/>
  </cols>
  <sheetData>
    <row r="1" spans="1:32" ht="29">
      <c r="A1" s="412" t="s">
        <v>43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  <c r="P1" s="413"/>
      <c r="Q1" s="413"/>
      <c r="R1" s="413"/>
      <c r="S1" s="413"/>
      <c r="T1" s="413"/>
      <c r="U1" s="413"/>
      <c r="V1" s="413"/>
      <c r="W1" s="413"/>
      <c r="X1" s="413"/>
      <c r="Y1" s="413"/>
      <c r="Z1" s="413"/>
      <c r="AA1" s="413"/>
      <c r="AB1" s="413"/>
      <c r="AC1" s="413"/>
      <c r="AD1" s="413"/>
      <c r="AE1" s="413"/>
      <c r="AF1" s="413"/>
    </row>
    <row r="2" spans="1:32" ht="18">
      <c r="A2" s="129"/>
      <c r="B2" s="130">
        <v>45658</v>
      </c>
      <c r="C2" s="130">
        <v>45689</v>
      </c>
      <c r="D2" s="130">
        <v>45717</v>
      </c>
      <c r="E2" s="130">
        <v>45748</v>
      </c>
      <c r="F2" s="130">
        <v>45778</v>
      </c>
      <c r="G2" s="130">
        <v>45809</v>
      </c>
      <c r="H2" s="130">
        <v>45839</v>
      </c>
      <c r="I2" s="417">
        <v>45870</v>
      </c>
      <c r="J2" s="418"/>
      <c r="K2" s="418"/>
      <c r="L2" s="414">
        <v>45901</v>
      </c>
      <c r="M2" s="415"/>
      <c r="N2" s="416"/>
      <c r="O2" s="414">
        <v>45931</v>
      </c>
      <c r="P2" s="415"/>
      <c r="Q2" s="416"/>
      <c r="R2" s="419">
        <v>45962</v>
      </c>
      <c r="S2" s="418"/>
      <c r="T2" s="420"/>
      <c r="U2" s="410">
        <v>45992</v>
      </c>
      <c r="V2" s="411"/>
      <c r="W2" s="411"/>
      <c r="X2" s="410">
        <v>46023</v>
      </c>
      <c r="Y2" s="411"/>
      <c r="Z2" s="411"/>
      <c r="AA2" s="410">
        <v>46054</v>
      </c>
      <c r="AB2" s="411"/>
      <c r="AC2" s="411"/>
      <c r="AD2" s="410">
        <v>46082</v>
      </c>
      <c r="AE2" s="411"/>
      <c r="AF2" s="411"/>
    </row>
    <row r="3" spans="1:32" ht="16">
      <c r="A3" s="28"/>
      <c r="B3" s="29"/>
      <c r="C3" s="29"/>
      <c r="D3" s="93"/>
      <c r="E3" s="93"/>
      <c r="F3" s="29"/>
      <c r="G3" s="93"/>
      <c r="H3" s="29"/>
      <c r="I3" s="94" t="s">
        <v>39</v>
      </c>
      <c r="J3" s="94" t="s">
        <v>40</v>
      </c>
      <c r="K3" s="108" t="s">
        <v>41</v>
      </c>
      <c r="L3" s="126" t="s">
        <v>39</v>
      </c>
      <c r="M3" s="127" t="s">
        <v>40</v>
      </c>
      <c r="N3" s="128" t="s">
        <v>41</v>
      </c>
      <c r="O3" s="126" t="s">
        <v>39</v>
      </c>
      <c r="P3" s="127" t="s">
        <v>40</v>
      </c>
      <c r="Q3" s="128" t="s">
        <v>41</v>
      </c>
      <c r="R3" s="126" t="s">
        <v>39</v>
      </c>
      <c r="S3" s="127" t="s">
        <v>40</v>
      </c>
      <c r="T3" s="128" t="s">
        <v>41</v>
      </c>
      <c r="U3" s="126" t="s">
        <v>39</v>
      </c>
      <c r="V3" s="127" t="s">
        <v>40</v>
      </c>
      <c r="W3" s="128" t="s">
        <v>41</v>
      </c>
      <c r="X3" s="126" t="s">
        <v>39</v>
      </c>
      <c r="Y3" s="127" t="s">
        <v>40</v>
      </c>
      <c r="Z3" s="128" t="s">
        <v>41</v>
      </c>
      <c r="AA3" s="126" t="s">
        <v>39</v>
      </c>
      <c r="AB3" s="127" t="s">
        <v>40</v>
      </c>
      <c r="AC3" s="128" t="s">
        <v>41</v>
      </c>
      <c r="AD3" s="126" t="s">
        <v>39</v>
      </c>
      <c r="AE3" s="127" t="s">
        <v>40</v>
      </c>
      <c r="AF3" s="128" t="s">
        <v>41</v>
      </c>
    </row>
    <row r="4" spans="1:32" ht="16">
      <c r="A4" s="124" t="s">
        <v>33</v>
      </c>
      <c r="B4" s="31">
        <v>54627.08</v>
      </c>
      <c r="C4" s="64"/>
      <c r="D4" s="71"/>
      <c r="E4" s="72"/>
      <c r="F4" s="73"/>
      <c r="G4" s="74"/>
      <c r="H4" s="64"/>
      <c r="I4" s="95">
        <v>79014.149999999994</v>
      </c>
      <c r="J4" s="98">
        <v>77241.649999999994</v>
      </c>
      <c r="K4" s="109">
        <f t="shared" ref="K4:K15" si="0">I4-J4</f>
        <v>1772.5</v>
      </c>
      <c r="L4" s="111">
        <v>94011.48</v>
      </c>
      <c r="M4" s="97">
        <v>60839.02</v>
      </c>
      <c r="N4" s="112">
        <f t="shared" ref="N4:N15" si="1">L4-M4</f>
        <v>33172.46</v>
      </c>
      <c r="O4" s="114">
        <v>109848.93</v>
      </c>
      <c r="P4" s="97">
        <v>101218.98</v>
      </c>
      <c r="Q4" s="112">
        <f>O4-P4</f>
        <v>8629.9499999999971</v>
      </c>
      <c r="R4" s="114">
        <v>102623.17</v>
      </c>
      <c r="S4" s="97">
        <v>73553.759999999995</v>
      </c>
      <c r="T4" s="112">
        <f>R4-S4</f>
        <v>29069.410000000003</v>
      </c>
      <c r="U4" s="114">
        <v>100569.97</v>
      </c>
      <c r="V4" s="97">
        <v>83389.14</v>
      </c>
      <c r="W4" s="112">
        <f>U4-V4</f>
        <v>17180.830000000002</v>
      </c>
      <c r="X4" s="114">
        <f>'JANEIRO 2026'!D125</f>
        <v>73071.73</v>
      </c>
      <c r="Y4" s="97">
        <f>'JANEIRO 2026'!D126</f>
        <v>-103596.29000000004</v>
      </c>
      <c r="Z4" s="112">
        <f>X4+Y4</f>
        <v>-30524.560000000041</v>
      </c>
      <c r="AA4" s="114">
        <f>'FEVEREIRO 2026'!D126</f>
        <v>137121.34</v>
      </c>
      <c r="AB4" s="97">
        <f>'FEVEREIRO 2026'!D127</f>
        <v>-118501.77</v>
      </c>
      <c r="AC4" s="112">
        <f>AA4+AB4</f>
        <v>18619.569999999992</v>
      </c>
      <c r="AD4" s="114">
        <f>68660.73+2.62</f>
        <v>68663.349999999991</v>
      </c>
      <c r="AE4" s="97">
        <f>'MARÇO 2026'!D128</f>
        <v>-83836.460000000006</v>
      </c>
      <c r="AF4" s="112">
        <f>AD4+AE4</f>
        <v>-15173.110000000015</v>
      </c>
    </row>
    <row r="5" spans="1:32" ht="16">
      <c r="A5" s="125" t="s">
        <v>34</v>
      </c>
      <c r="B5" s="31">
        <v>3625.8</v>
      </c>
      <c r="C5" s="70"/>
      <c r="D5" s="71"/>
      <c r="E5" s="72"/>
      <c r="F5" s="75"/>
      <c r="G5" s="76"/>
      <c r="H5" s="72"/>
      <c r="I5" s="96"/>
      <c r="J5" s="98"/>
      <c r="K5" s="109">
        <f t="shared" si="0"/>
        <v>0</v>
      </c>
      <c r="L5" s="113">
        <v>10848.29</v>
      </c>
      <c r="M5" s="98">
        <v>3709.52</v>
      </c>
      <c r="N5" s="112">
        <f t="shared" si="1"/>
        <v>7138.77</v>
      </c>
      <c r="O5" s="114">
        <v>13973.29</v>
      </c>
      <c r="P5" s="97">
        <v>2572.69</v>
      </c>
      <c r="Q5" s="112">
        <f t="shared" ref="Q5:Q15" si="2">O5-P5</f>
        <v>11400.6</v>
      </c>
      <c r="R5" s="114">
        <v>25932.53</v>
      </c>
      <c r="S5" s="97">
        <v>14279.18</v>
      </c>
      <c r="T5" s="112">
        <f t="shared" ref="T5:T7" si="3">R5-S5</f>
        <v>11653.349999999999</v>
      </c>
      <c r="U5" s="114">
        <v>28768.19</v>
      </c>
      <c r="V5" s="97">
        <v>9404.6299999999992</v>
      </c>
      <c r="W5" s="112">
        <f t="shared" ref="W5:W7" si="4">U5-V5</f>
        <v>19363.559999999998</v>
      </c>
      <c r="X5" s="114">
        <f>'JANEIRO 2026'!D38</f>
        <v>4445.87</v>
      </c>
      <c r="Y5" s="97">
        <f>'JANEIRO 2026'!D39</f>
        <v>-5870.6399999999994</v>
      </c>
      <c r="Z5" s="112">
        <f>X5+Y5</f>
        <v>-1424.7699999999995</v>
      </c>
      <c r="AA5" s="114">
        <f>'FEVEREIRO 2026'!D42</f>
        <v>9336.9599999999991</v>
      </c>
      <c r="AB5" s="97">
        <f>'FEVEREIRO 2026'!D43</f>
        <v>-4669.7700000000004</v>
      </c>
      <c r="AC5" s="112">
        <f>AA5+AB5</f>
        <v>4667.1899999999987</v>
      </c>
      <c r="AD5" s="114">
        <v>12925.29</v>
      </c>
      <c r="AE5" s="97">
        <f>'MARÇO 2026'!D41</f>
        <v>-6127.4499999999989</v>
      </c>
      <c r="AF5" s="112">
        <f>AD5+AE5</f>
        <v>6797.840000000002</v>
      </c>
    </row>
    <row r="6" spans="1:32" ht="16">
      <c r="A6" s="124" t="s">
        <v>35</v>
      </c>
      <c r="B6" s="31">
        <v>1653.0075000000081</v>
      </c>
      <c r="C6" s="77"/>
      <c r="D6" s="78"/>
      <c r="E6" s="72"/>
      <c r="F6" s="64"/>
      <c r="G6" s="72"/>
      <c r="H6" s="72"/>
      <c r="I6" s="96"/>
      <c r="J6" s="98"/>
      <c r="K6" s="109">
        <f t="shared" si="0"/>
        <v>0</v>
      </c>
      <c r="L6" s="114">
        <v>5932.87</v>
      </c>
      <c r="M6" s="99">
        <v>1462.24</v>
      </c>
      <c r="N6" s="112">
        <f t="shared" si="1"/>
        <v>4470.63</v>
      </c>
      <c r="O6" s="114">
        <v>8224.94</v>
      </c>
      <c r="P6" s="97">
        <v>2229.44</v>
      </c>
      <c r="Q6" s="112">
        <f t="shared" si="2"/>
        <v>5995.5</v>
      </c>
      <c r="R6" s="114">
        <v>3802.22</v>
      </c>
      <c r="S6" s="97">
        <v>2688.2</v>
      </c>
      <c r="T6" s="112">
        <f t="shared" si="3"/>
        <v>1114.02</v>
      </c>
      <c r="U6" s="114">
        <v>5556.91</v>
      </c>
      <c r="V6" s="97">
        <v>1226.92</v>
      </c>
      <c r="W6" s="112">
        <f t="shared" si="4"/>
        <v>4329.99</v>
      </c>
      <c r="X6" s="114">
        <f>'JANEIRO 2026'!D46</f>
        <v>10457.379499999999</v>
      </c>
      <c r="Y6" s="97">
        <f>'JANEIRO 2026'!D47</f>
        <v>-4019.1192999999998</v>
      </c>
      <c r="Z6" s="112">
        <f>X6+Y6</f>
        <v>6438.2601999999988</v>
      </c>
      <c r="AA6" s="114">
        <f>'FEVEREIRO 2026'!D49</f>
        <v>936.84</v>
      </c>
      <c r="AB6" s="97">
        <f>'FEVEREIRO 2026'!D50</f>
        <v>-3919.31</v>
      </c>
      <c r="AC6" s="112">
        <f>AA6+AB6</f>
        <v>-2982.47</v>
      </c>
      <c r="AD6" s="114">
        <v>7147.5</v>
      </c>
      <c r="AE6" s="97">
        <f>'MARÇO 2026'!D47</f>
        <v>-2200.1486999999997</v>
      </c>
      <c r="AF6" s="112">
        <f>AD6+AE6</f>
        <v>4947.3513000000003</v>
      </c>
    </row>
    <row r="7" spans="1:32" ht="16">
      <c r="A7" s="125" t="s">
        <v>36</v>
      </c>
      <c r="B7" s="31">
        <v>39340.6155</v>
      </c>
      <c r="C7" s="70"/>
      <c r="D7" s="71"/>
      <c r="E7" s="72"/>
      <c r="F7" s="64"/>
      <c r="G7" s="72"/>
      <c r="H7" s="72"/>
      <c r="I7" s="96"/>
      <c r="J7" s="98">
        <v>69.63</v>
      </c>
      <c r="K7" s="109">
        <f t="shared" si="0"/>
        <v>-69.63</v>
      </c>
      <c r="L7" s="114">
        <v>9166.67</v>
      </c>
      <c r="M7" s="99">
        <v>1977.16</v>
      </c>
      <c r="N7" s="112">
        <f t="shared" si="1"/>
        <v>7189.51</v>
      </c>
      <c r="O7" s="114">
        <v>4799.96</v>
      </c>
      <c r="P7" s="97">
        <v>1453.42</v>
      </c>
      <c r="Q7" s="112">
        <f t="shared" si="2"/>
        <v>3346.54</v>
      </c>
      <c r="R7" s="114">
        <v>5376.71</v>
      </c>
      <c r="S7" s="97">
        <v>1571.85</v>
      </c>
      <c r="T7" s="112">
        <f t="shared" si="3"/>
        <v>3804.86</v>
      </c>
      <c r="U7" s="114">
        <v>6704.37</v>
      </c>
      <c r="V7" s="97">
        <v>1994.18</v>
      </c>
      <c r="W7" s="112">
        <f t="shared" si="4"/>
        <v>4710.1899999999996</v>
      </c>
      <c r="X7" s="114">
        <f>'JANEIRO 2026'!D52</f>
        <v>5024.3603999999996</v>
      </c>
      <c r="Y7" s="97">
        <f>'JANEIRO 2026'!D53</f>
        <v>-1515.2599999999998</v>
      </c>
      <c r="Z7" s="112">
        <f>X7+Y7</f>
        <v>3509.1003999999998</v>
      </c>
      <c r="AA7" s="114">
        <f>'FEVEREIRO 2026'!D56</f>
        <v>11290.9</v>
      </c>
      <c r="AB7" s="97">
        <f>'FEVEREIRO 2026'!D57</f>
        <v>-2769.84</v>
      </c>
      <c r="AC7" s="112">
        <f>AA7+AB7</f>
        <v>8521.06</v>
      </c>
      <c r="AD7" s="114">
        <v>9240.93</v>
      </c>
      <c r="AE7" s="97">
        <f>'MARÇO 2026'!D58</f>
        <v>-2924.11</v>
      </c>
      <c r="AF7" s="112">
        <f>AD7+AE7</f>
        <v>6316.82</v>
      </c>
    </row>
    <row r="8" spans="1:32" ht="16">
      <c r="A8" s="124" t="s">
        <v>37</v>
      </c>
      <c r="B8" s="31"/>
      <c r="C8" s="79"/>
      <c r="D8" s="71"/>
      <c r="E8" s="72"/>
      <c r="F8" s="64"/>
      <c r="G8" s="72"/>
      <c r="H8" s="72"/>
      <c r="I8" s="96">
        <v>3429.73</v>
      </c>
      <c r="J8" s="98">
        <v>42060.88</v>
      </c>
      <c r="K8" s="109">
        <f>I8-J8</f>
        <v>-38631.149999999994</v>
      </c>
      <c r="L8" s="114">
        <v>1189.3</v>
      </c>
      <c r="M8" s="99">
        <v>18129.05</v>
      </c>
      <c r="N8" s="112">
        <f t="shared" si="1"/>
        <v>-16939.75</v>
      </c>
      <c r="O8" s="114">
        <v>3142.59</v>
      </c>
      <c r="P8" s="97">
        <v>16517.759999999998</v>
      </c>
      <c r="Q8" s="112">
        <f>O8-P8</f>
        <v>-13375.169999999998</v>
      </c>
      <c r="R8" s="114">
        <v>9642.08</v>
      </c>
      <c r="S8" s="97">
        <v>18968.099999999999</v>
      </c>
      <c r="T8" s="112">
        <f>R8-S8</f>
        <v>-9326.0199999999986</v>
      </c>
      <c r="U8" s="114">
        <v>4236.96</v>
      </c>
      <c r="V8" s="97">
        <v>16373.9</v>
      </c>
      <c r="W8" s="112">
        <f>U8-V8</f>
        <v>-12136.939999999999</v>
      </c>
      <c r="X8" s="114">
        <f>'JANEIRO 2026'!D23</f>
        <v>4360.1894000000002</v>
      </c>
      <c r="Y8" s="97">
        <f>'JANEIRO 2026'!D24</f>
        <v>-14722.529999999999</v>
      </c>
      <c r="Z8" s="112">
        <f>X8+Y8</f>
        <v>-10362.3406</v>
      </c>
      <c r="AA8" s="114">
        <f>'FEVEREIRO 2026'!D26</f>
        <v>11703.57</v>
      </c>
      <c r="AB8" s="97">
        <f>'FEVEREIRO 2026'!D27</f>
        <v>-13320.99</v>
      </c>
      <c r="AC8" s="112">
        <f>AA8+AB8</f>
        <v>-1617.42</v>
      </c>
      <c r="AD8" s="114">
        <f>3708.46+15.35</f>
        <v>3723.81</v>
      </c>
      <c r="AE8" s="97">
        <f>'MARÇO 2026'!D25</f>
        <v>-13951.71</v>
      </c>
      <c r="AF8" s="112">
        <f>AD8+AE8</f>
        <v>-10227.9</v>
      </c>
    </row>
    <row r="9" spans="1:32" ht="16">
      <c r="A9" s="124" t="s">
        <v>42</v>
      </c>
      <c r="B9" s="82"/>
      <c r="C9" s="82"/>
      <c r="D9" s="82"/>
      <c r="E9" s="82"/>
      <c r="F9" s="82"/>
      <c r="G9" s="82"/>
      <c r="H9" s="64"/>
      <c r="I9" s="102"/>
      <c r="J9" s="106">
        <v>255</v>
      </c>
      <c r="K9" s="109">
        <f>I9-J9</f>
        <v>-255</v>
      </c>
      <c r="L9" s="113"/>
      <c r="M9" s="98"/>
      <c r="N9" s="112">
        <f>L9-M9</f>
        <v>0</v>
      </c>
      <c r="O9" s="114">
        <v>3300</v>
      </c>
      <c r="P9" s="99">
        <v>790.5</v>
      </c>
      <c r="Q9" s="112">
        <f>O9-P9</f>
        <v>2509.5</v>
      </c>
      <c r="R9" s="114"/>
      <c r="S9" s="97"/>
      <c r="T9" s="112">
        <f>R9-S9</f>
        <v>0</v>
      </c>
      <c r="U9" s="114"/>
      <c r="V9" s="97"/>
      <c r="W9" s="112">
        <f>U9-V9</f>
        <v>0</v>
      </c>
      <c r="X9" s="114"/>
      <c r="Y9" s="97"/>
      <c r="Z9" s="112">
        <f>X9-Y9</f>
        <v>0</v>
      </c>
      <c r="AA9" s="114"/>
      <c r="AB9" s="97"/>
      <c r="AC9" s="112">
        <f>AA9-AB9</f>
        <v>0</v>
      </c>
      <c r="AD9" s="114">
        <v>10000</v>
      </c>
      <c r="AE9" s="97">
        <f>'MARÇO 2026'!D53</f>
        <v>-3187.5</v>
      </c>
      <c r="AF9" s="112">
        <f>AD9-AE9</f>
        <v>13187.5</v>
      </c>
    </row>
    <row r="10" spans="1:32" ht="16" hidden="1">
      <c r="A10" s="124" t="s">
        <v>38</v>
      </c>
      <c r="B10" s="31"/>
      <c r="C10" s="79"/>
      <c r="D10" s="71"/>
      <c r="E10" s="72"/>
      <c r="F10" s="64"/>
      <c r="G10" s="72"/>
      <c r="H10" s="72"/>
      <c r="I10" s="95">
        <v>78172.800000000003</v>
      </c>
      <c r="J10" s="98">
        <v>15454.4</v>
      </c>
      <c r="K10" s="109">
        <f>I10-J10</f>
        <v>62718.400000000001</v>
      </c>
      <c r="L10" s="114">
        <v>139680.57999999999</v>
      </c>
      <c r="M10" s="99">
        <v>53831.46</v>
      </c>
      <c r="N10" s="112">
        <f>L10-M10</f>
        <v>85849.12</v>
      </c>
      <c r="O10" s="114">
        <v>29746</v>
      </c>
      <c r="P10" s="97">
        <v>12781.28</v>
      </c>
      <c r="Q10" s="112">
        <f>O10-P10</f>
        <v>16964.72</v>
      </c>
      <c r="R10" s="114">
        <v>12588</v>
      </c>
      <c r="S10" s="97">
        <v>4685.63</v>
      </c>
      <c r="T10" s="112">
        <f>R10-S10</f>
        <v>7902.37</v>
      </c>
      <c r="U10" s="114"/>
      <c r="V10" s="97"/>
      <c r="W10" s="112">
        <f t="shared" ref="W10" si="5">U10-V10</f>
        <v>0</v>
      </c>
      <c r="X10" s="114"/>
      <c r="Y10" s="97"/>
      <c r="Z10" s="112">
        <f t="shared" ref="Z10" si="6">X10-Y10</f>
        <v>0</v>
      </c>
      <c r="AA10" s="114"/>
      <c r="AB10" s="97"/>
      <c r="AC10" s="112">
        <f t="shared" ref="AC10:AC14" si="7">AA10-AB10</f>
        <v>0</v>
      </c>
      <c r="AD10" s="114"/>
      <c r="AE10" s="97"/>
      <c r="AF10" s="112">
        <f t="shared" ref="AF10:AF14" si="8">AD10-AE10</f>
        <v>0</v>
      </c>
    </row>
    <row r="11" spans="1:32" ht="16" hidden="1">
      <c r="A11" s="125" t="s">
        <v>15</v>
      </c>
      <c r="B11" s="31"/>
      <c r="C11" s="80"/>
      <c r="D11" s="80"/>
      <c r="E11" s="72"/>
      <c r="F11" s="80"/>
      <c r="G11" s="80"/>
      <c r="H11" s="87"/>
      <c r="I11" s="100"/>
      <c r="J11" s="103"/>
      <c r="K11" s="109">
        <f t="shared" si="0"/>
        <v>0</v>
      </c>
      <c r="L11" s="123"/>
      <c r="M11" s="103"/>
      <c r="N11" s="112">
        <f t="shared" si="1"/>
        <v>0</v>
      </c>
      <c r="O11" s="114"/>
      <c r="P11" s="99"/>
      <c r="Q11" s="112">
        <f t="shared" si="2"/>
        <v>0</v>
      </c>
      <c r="R11" s="114"/>
      <c r="S11" s="97"/>
      <c r="T11" s="112">
        <f t="shared" ref="T11:T14" si="9">R11-S11</f>
        <v>0</v>
      </c>
      <c r="U11" s="114"/>
      <c r="V11" s="97"/>
      <c r="W11" s="112">
        <f t="shared" ref="W11:W14" si="10">U11-V11</f>
        <v>0</v>
      </c>
      <c r="X11" s="114"/>
      <c r="Y11" s="97"/>
      <c r="Z11" s="112">
        <f t="shared" ref="Z11:Z14" si="11">X11-Y11</f>
        <v>0</v>
      </c>
      <c r="AA11" s="114"/>
      <c r="AB11" s="97"/>
      <c r="AC11" s="112">
        <f t="shared" si="7"/>
        <v>0</v>
      </c>
      <c r="AD11" s="114"/>
      <c r="AE11" s="97"/>
      <c r="AF11" s="112">
        <f t="shared" si="8"/>
        <v>0</v>
      </c>
    </row>
    <row r="12" spans="1:32" ht="16" hidden="1">
      <c r="A12" s="32" t="s">
        <v>18</v>
      </c>
      <c r="B12" s="31"/>
      <c r="C12" s="77"/>
      <c r="D12" s="72"/>
      <c r="E12" s="72"/>
      <c r="F12" s="64"/>
      <c r="G12" s="72"/>
      <c r="H12" s="72"/>
      <c r="I12" s="96"/>
      <c r="J12" s="98"/>
      <c r="K12" s="109">
        <f t="shared" si="0"/>
        <v>0</v>
      </c>
      <c r="L12" s="115"/>
      <c r="M12" s="64"/>
      <c r="N12" s="112">
        <f t="shared" si="1"/>
        <v>0</v>
      </c>
      <c r="O12" s="121"/>
      <c r="P12" s="92"/>
      <c r="Q12" s="112">
        <f t="shared" si="2"/>
        <v>0</v>
      </c>
      <c r="R12" s="88"/>
      <c r="S12" s="88"/>
      <c r="T12" s="112">
        <f t="shared" si="9"/>
        <v>0</v>
      </c>
      <c r="U12" s="88"/>
      <c r="V12" s="88"/>
      <c r="W12" s="112">
        <f t="shared" si="10"/>
        <v>0</v>
      </c>
      <c r="X12" s="88"/>
      <c r="Y12" s="88"/>
      <c r="Z12" s="112">
        <f t="shared" si="11"/>
        <v>0</v>
      </c>
      <c r="AA12" s="88"/>
      <c r="AB12" s="88"/>
      <c r="AC12" s="112">
        <f t="shared" si="7"/>
        <v>0</v>
      </c>
      <c r="AD12" s="88"/>
      <c r="AE12" s="88"/>
      <c r="AF12" s="112">
        <f t="shared" si="8"/>
        <v>0</v>
      </c>
    </row>
    <row r="13" spans="1:32" ht="16" hidden="1">
      <c r="A13" s="32" t="s">
        <v>21</v>
      </c>
      <c r="B13" s="31">
        <v>751.16</v>
      </c>
      <c r="C13" s="77"/>
      <c r="D13" s="72"/>
      <c r="E13" s="72"/>
      <c r="F13" s="64"/>
      <c r="G13" s="72"/>
      <c r="H13" s="64"/>
      <c r="I13" s="101"/>
      <c r="J13" s="104"/>
      <c r="K13" s="109">
        <f t="shared" si="0"/>
        <v>0</v>
      </c>
      <c r="L13" s="116"/>
      <c r="M13" s="91"/>
      <c r="N13" s="112">
        <f t="shared" si="1"/>
        <v>0</v>
      </c>
      <c r="O13" s="122"/>
      <c r="P13" s="107"/>
      <c r="Q13" s="112">
        <f t="shared" si="2"/>
        <v>0</v>
      </c>
      <c r="R13" s="120"/>
      <c r="S13" s="120"/>
      <c r="T13" s="112">
        <f t="shared" si="9"/>
        <v>0</v>
      </c>
      <c r="U13" s="120"/>
      <c r="V13" s="120"/>
      <c r="W13" s="112">
        <f t="shared" si="10"/>
        <v>0</v>
      </c>
      <c r="X13" s="120"/>
      <c r="Y13" s="120"/>
      <c r="Z13" s="112">
        <f t="shared" si="11"/>
        <v>0</v>
      </c>
      <c r="AA13" s="120"/>
      <c r="AB13" s="120"/>
      <c r="AC13" s="112">
        <f t="shared" si="7"/>
        <v>0</v>
      </c>
      <c r="AD13" s="120"/>
      <c r="AE13" s="120"/>
      <c r="AF13" s="112">
        <f t="shared" si="8"/>
        <v>0</v>
      </c>
    </row>
    <row r="14" spans="1:32" ht="16" hidden="1">
      <c r="A14" s="30" t="s">
        <v>30</v>
      </c>
      <c r="B14" s="82"/>
      <c r="C14" s="82"/>
      <c r="D14" s="82"/>
      <c r="E14" s="82"/>
      <c r="F14" s="82"/>
      <c r="G14" s="82"/>
      <c r="H14" s="64"/>
      <c r="I14" s="102"/>
      <c r="J14" s="105"/>
      <c r="K14" s="109">
        <f t="shared" si="0"/>
        <v>0</v>
      </c>
      <c r="L14" s="115"/>
      <c r="M14" s="64"/>
      <c r="N14" s="112">
        <f t="shared" si="1"/>
        <v>0</v>
      </c>
      <c r="O14" s="121"/>
      <c r="P14" s="92"/>
      <c r="Q14" s="112">
        <f t="shared" si="2"/>
        <v>0</v>
      </c>
      <c r="R14" s="114"/>
      <c r="S14" s="97"/>
      <c r="T14" s="112">
        <f t="shared" si="9"/>
        <v>0</v>
      </c>
      <c r="U14" s="114"/>
      <c r="V14" s="97"/>
      <c r="W14" s="112">
        <f t="shared" si="10"/>
        <v>0</v>
      </c>
      <c r="X14" s="114"/>
      <c r="Y14" s="97"/>
      <c r="Z14" s="112">
        <f t="shared" si="11"/>
        <v>0</v>
      </c>
      <c r="AA14" s="114"/>
      <c r="AB14" s="97"/>
      <c r="AC14" s="112">
        <f t="shared" si="7"/>
        <v>0</v>
      </c>
      <c r="AD14" s="114"/>
      <c r="AE14" s="97"/>
      <c r="AF14" s="112">
        <f t="shared" si="8"/>
        <v>0</v>
      </c>
    </row>
    <row r="15" spans="1:32" ht="16" hidden="1">
      <c r="A15" s="30" t="s">
        <v>28</v>
      </c>
      <c r="B15" s="82"/>
      <c r="C15" s="82"/>
      <c r="D15" s="82"/>
      <c r="E15" s="82"/>
      <c r="F15" s="82"/>
      <c r="G15" s="82"/>
      <c r="H15" s="64"/>
      <c r="I15" s="102"/>
      <c r="J15" s="105"/>
      <c r="K15" s="109">
        <f t="shared" si="0"/>
        <v>0</v>
      </c>
      <c r="L15" s="115"/>
      <c r="M15" s="64"/>
      <c r="N15" s="112">
        <f t="shared" si="1"/>
        <v>0</v>
      </c>
      <c r="O15" s="121"/>
      <c r="P15" s="92"/>
      <c r="Q15" s="112">
        <f t="shared" si="2"/>
        <v>0</v>
      </c>
      <c r="R15" s="88"/>
      <c r="S15" s="88"/>
      <c r="T15" s="88"/>
      <c r="U15" s="64"/>
      <c r="V15" s="259"/>
      <c r="W15" s="259"/>
      <c r="X15" s="64"/>
      <c r="Y15" s="259"/>
      <c r="Z15" s="259"/>
      <c r="AA15" s="64"/>
      <c r="AB15" s="259"/>
      <c r="AC15" s="259"/>
      <c r="AD15" s="64"/>
      <c r="AE15" s="259"/>
      <c r="AF15" s="259"/>
    </row>
    <row r="16" spans="1:32" ht="16" thickBot="1">
      <c r="A16" s="36" t="s">
        <v>3</v>
      </c>
      <c r="B16" s="22">
        <f t="shared" ref="B16:N16" si="12">SUM(B4:B14)</f>
        <v>99997.663000000015</v>
      </c>
      <c r="C16" s="22">
        <f t="shared" si="12"/>
        <v>0</v>
      </c>
      <c r="D16" s="23">
        <f t="shared" si="12"/>
        <v>0</v>
      </c>
      <c r="E16" s="55">
        <f t="shared" si="12"/>
        <v>0</v>
      </c>
      <c r="F16" s="55">
        <f t="shared" si="12"/>
        <v>0</v>
      </c>
      <c r="G16" s="55">
        <f t="shared" si="12"/>
        <v>0</v>
      </c>
      <c r="H16" s="63">
        <f t="shared" si="12"/>
        <v>0</v>
      </c>
      <c r="I16" s="63">
        <f t="shared" si="12"/>
        <v>160616.68</v>
      </c>
      <c r="J16" s="63">
        <f t="shared" si="12"/>
        <v>135081.56</v>
      </c>
      <c r="K16" s="55">
        <f t="shared" si="12"/>
        <v>25535.12000000001</v>
      </c>
      <c r="L16" s="117">
        <f t="shared" si="12"/>
        <v>260829.18999999997</v>
      </c>
      <c r="M16" s="118">
        <f t="shared" si="12"/>
        <v>139948.45000000001</v>
      </c>
      <c r="N16" s="119">
        <f t="shared" si="12"/>
        <v>120880.73999999999</v>
      </c>
      <c r="O16" s="119">
        <f>SUM(O4:O15)</f>
        <v>173035.71</v>
      </c>
      <c r="P16" s="119">
        <f>SUM(P4:P15)</f>
        <v>137564.07</v>
      </c>
      <c r="Q16" s="119">
        <f>SUM(Q4:Q14)</f>
        <v>35471.64</v>
      </c>
      <c r="R16" s="119">
        <f>SUM(R4:R15)</f>
        <v>159964.70999999996</v>
      </c>
      <c r="S16" s="119">
        <f>SUM(S4:S15)</f>
        <v>115746.72</v>
      </c>
      <c r="T16" s="119">
        <f t="shared" ref="T16:Z16" si="13">SUM(T4:T14)</f>
        <v>44217.990000000005</v>
      </c>
      <c r="U16" s="63">
        <f t="shared" si="13"/>
        <v>145836.4</v>
      </c>
      <c r="V16" s="63">
        <f t="shared" si="13"/>
        <v>112388.76999999999</v>
      </c>
      <c r="W16" s="63">
        <f t="shared" si="13"/>
        <v>33447.630000000005</v>
      </c>
      <c r="X16" s="63">
        <f t="shared" si="13"/>
        <v>97359.529299999995</v>
      </c>
      <c r="Y16" s="63">
        <f t="shared" si="13"/>
        <v>-129723.83930000004</v>
      </c>
      <c r="Z16" s="63">
        <f t="shared" si="13"/>
        <v>-32364.310000000041</v>
      </c>
      <c r="AA16" s="63">
        <f t="shared" ref="AA16:AC16" si="14">SUM(AA4:AA14)</f>
        <v>170389.61</v>
      </c>
      <c r="AB16" s="63">
        <f t="shared" si="14"/>
        <v>-143181.68</v>
      </c>
      <c r="AC16" s="63">
        <f t="shared" si="14"/>
        <v>27207.929999999993</v>
      </c>
      <c r="AD16" s="63">
        <f t="shared" ref="AD16:AF16" si="15">SUM(AD4:AD14)</f>
        <v>111700.87999999998</v>
      </c>
      <c r="AE16" s="63">
        <f t="shared" si="15"/>
        <v>-112227.3787</v>
      </c>
      <c r="AF16" s="63">
        <f t="shared" si="15"/>
        <v>5848.5012999999872</v>
      </c>
    </row>
    <row r="17" spans="1:32" ht="16" hidden="1">
      <c r="A17" s="30" t="s">
        <v>4</v>
      </c>
      <c r="B17" s="31">
        <v>0</v>
      </c>
      <c r="C17" s="31">
        <v>0</v>
      </c>
      <c r="D17" s="59"/>
      <c r="E17" s="54"/>
      <c r="F17" s="51"/>
      <c r="G17" s="54"/>
      <c r="H17" s="51"/>
      <c r="I17" s="51"/>
      <c r="J17" s="51"/>
      <c r="K17" s="51"/>
      <c r="L17" s="110"/>
      <c r="M17" s="110"/>
      <c r="N17" s="110"/>
      <c r="O17" s="110"/>
      <c r="P17" s="110"/>
      <c r="Q17" s="110"/>
      <c r="R17" s="51"/>
      <c r="S17" s="51"/>
      <c r="T17" s="51"/>
      <c r="U17" s="51"/>
      <c r="V17" s="260"/>
      <c r="W17" s="260"/>
      <c r="X17" s="51"/>
      <c r="Y17" s="260"/>
      <c r="Z17" s="260"/>
      <c r="AA17" s="51"/>
      <c r="AB17" s="260"/>
      <c r="AC17" s="260"/>
      <c r="AD17" s="51"/>
      <c r="AE17" s="260"/>
      <c r="AF17" s="260"/>
    </row>
    <row r="18" spans="1:32" ht="16" hidden="1">
      <c r="A18" s="32" t="s">
        <v>5</v>
      </c>
      <c r="B18" s="37">
        <v>0</v>
      </c>
      <c r="C18" s="37">
        <v>0</v>
      </c>
      <c r="D18" s="37"/>
      <c r="E18" s="37"/>
      <c r="F18" s="37"/>
      <c r="G18" s="37"/>
      <c r="H18" s="37"/>
      <c r="I18" s="37"/>
      <c r="J18" s="37"/>
      <c r="K18" s="37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261"/>
      <c r="W18" s="261"/>
      <c r="X18" s="66"/>
      <c r="Y18" s="261"/>
      <c r="Z18" s="261"/>
      <c r="AA18" s="66"/>
      <c r="AB18" s="261"/>
      <c r="AC18" s="261"/>
      <c r="AD18" s="66"/>
      <c r="AE18" s="261"/>
      <c r="AF18" s="261"/>
    </row>
    <row r="19" spans="1:32" ht="16" hidden="1">
      <c r="A19" s="38" t="s">
        <v>6</v>
      </c>
      <c r="B19" s="33">
        <f>SUM(B16:B18)</f>
        <v>99997.663000000015</v>
      </c>
      <c r="C19" s="33">
        <f>SUM(C16:C18)</f>
        <v>0</v>
      </c>
      <c r="D19" s="49">
        <f>SUM(D16:D18)</f>
        <v>0</v>
      </c>
      <c r="E19" s="52">
        <f>SUM(E16:E18)</f>
        <v>0</v>
      </c>
      <c r="F19" s="52">
        <f t="shared" ref="F19:U19" si="16">SUM(F16:F18)</f>
        <v>0</v>
      </c>
      <c r="G19" s="52">
        <f t="shared" si="16"/>
        <v>0</v>
      </c>
      <c r="H19" s="52">
        <f t="shared" si="16"/>
        <v>0</v>
      </c>
      <c r="I19" s="52">
        <f t="shared" si="16"/>
        <v>160616.68</v>
      </c>
      <c r="J19" s="52"/>
      <c r="K19" s="52"/>
      <c r="L19" s="52">
        <f t="shared" si="16"/>
        <v>260829.18999999997</v>
      </c>
      <c r="M19" s="52"/>
      <c r="N19" s="52"/>
      <c r="O19" s="52"/>
      <c r="P19" s="52"/>
      <c r="Q19" s="52">
        <f t="shared" si="16"/>
        <v>35471.64</v>
      </c>
      <c r="R19" s="52">
        <f t="shared" si="16"/>
        <v>159964.70999999996</v>
      </c>
      <c r="S19" s="52"/>
      <c r="T19" s="52"/>
      <c r="U19" s="52">
        <f t="shared" si="16"/>
        <v>145836.4</v>
      </c>
      <c r="V19" s="262"/>
      <c r="W19" s="262"/>
      <c r="X19" s="52">
        <f t="shared" ref="X19" si="17">SUM(X16:X18)</f>
        <v>97359.529299999995</v>
      </c>
      <c r="Y19" s="262"/>
      <c r="Z19" s="262"/>
      <c r="AA19" s="52">
        <f t="shared" ref="AA19" si="18">SUM(AA16:AA18)</f>
        <v>170389.61</v>
      </c>
      <c r="AB19" s="262"/>
      <c r="AC19" s="262"/>
      <c r="AD19" s="52">
        <f t="shared" ref="AD19" si="19">SUM(AD16:AD18)</f>
        <v>111700.87999999998</v>
      </c>
      <c r="AE19" s="262"/>
      <c r="AF19" s="262"/>
    </row>
    <row r="20" spans="1:32" ht="16" hidden="1">
      <c r="A20" s="32" t="s">
        <v>7</v>
      </c>
      <c r="B20" s="34"/>
      <c r="C20" s="34"/>
      <c r="D20" s="34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1"/>
      <c r="S20" s="51"/>
      <c r="T20" s="51"/>
      <c r="U20" s="51"/>
      <c r="V20" s="260"/>
      <c r="W20" s="260"/>
      <c r="X20" s="51"/>
      <c r="Y20" s="260"/>
      <c r="Z20" s="260"/>
      <c r="AA20" s="51"/>
      <c r="AB20" s="260"/>
      <c r="AC20" s="260"/>
      <c r="AD20" s="51"/>
      <c r="AE20" s="260"/>
      <c r="AF20" s="260"/>
    </row>
    <row r="21" spans="1:32" ht="16" hidden="1">
      <c r="A21" s="38" t="s">
        <v>8</v>
      </c>
      <c r="B21" s="39" t="e">
        <f>B19/B20</f>
        <v>#DIV/0!</v>
      </c>
      <c r="C21" s="39" t="e">
        <f>C19/C20</f>
        <v>#DIV/0!</v>
      </c>
      <c r="D21" s="39" t="e">
        <f>D19/D20</f>
        <v>#DIV/0!</v>
      </c>
      <c r="E21" s="60" t="e">
        <f>E19/E20</f>
        <v>#DIV/0!</v>
      </c>
      <c r="F21" s="60" t="e">
        <f t="shared" ref="F21:U21" si="20">F19/F20</f>
        <v>#DIV/0!</v>
      </c>
      <c r="G21" s="60" t="e">
        <f t="shared" si="20"/>
        <v>#DIV/0!</v>
      </c>
      <c r="H21" s="60" t="e">
        <f t="shared" si="20"/>
        <v>#DIV/0!</v>
      </c>
      <c r="I21" s="60" t="e">
        <f t="shared" si="20"/>
        <v>#DIV/0!</v>
      </c>
      <c r="J21" s="60"/>
      <c r="K21" s="60"/>
      <c r="L21" s="60" t="e">
        <f t="shared" si="20"/>
        <v>#DIV/0!</v>
      </c>
      <c r="M21" s="60"/>
      <c r="N21" s="60"/>
      <c r="O21" s="60"/>
      <c r="P21" s="60"/>
      <c r="Q21" s="57" t="e">
        <f t="shared" si="20"/>
        <v>#DIV/0!</v>
      </c>
      <c r="R21" s="57" t="e">
        <f t="shared" si="20"/>
        <v>#DIV/0!</v>
      </c>
      <c r="S21" s="57"/>
      <c r="T21" s="57"/>
      <c r="U21" s="57" t="e">
        <f t="shared" si="20"/>
        <v>#DIV/0!</v>
      </c>
      <c r="V21" s="263"/>
      <c r="W21" s="263"/>
      <c r="X21" s="57" t="e">
        <f t="shared" ref="X21" si="21">X19/X20</f>
        <v>#DIV/0!</v>
      </c>
      <c r="Y21" s="263"/>
      <c r="Z21" s="263"/>
      <c r="AA21" s="57" t="e">
        <f t="shared" ref="AA21" si="22">AA19/AA20</f>
        <v>#DIV/0!</v>
      </c>
      <c r="AB21" s="263"/>
      <c r="AC21" s="263"/>
      <c r="AD21" s="57" t="e">
        <f t="shared" ref="AD21" si="23">AD19/AD20</f>
        <v>#DIV/0!</v>
      </c>
      <c r="AE21" s="263"/>
      <c r="AF21" s="263"/>
    </row>
    <row r="22" spans="1:32" ht="16" hidden="1">
      <c r="A22" s="28"/>
      <c r="B22" s="40"/>
      <c r="C22" s="40"/>
      <c r="D22" s="40"/>
      <c r="E22" s="61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264"/>
      <c r="W22" s="264"/>
      <c r="X22" s="58"/>
      <c r="Y22" s="264"/>
      <c r="Z22" s="264"/>
      <c r="AA22" s="58"/>
      <c r="AB22" s="264"/>
      <c r="AC22" s="264"/>
      <c r="AD22" s="58"/>
      <c r="AE22" s="264"/>
      <c r="AF22" s="264"/>
    </row>
    <row r="23" spans="1:32">
      <c r="A23" t="s">
        <v>212</v>
      </c>
      <c r="L23" s="258">
        <f t="shared" ref="L23:Z23" si="24">L16-L10</f>
        <v>121148.60999999999</v>
      </c>
      <c r="M23" s="258">
        <f t="shared" si="24"/>
        <v>86116.99000000002</v>
      </c>
      <c r="N23" s="258">
        <f t="shared" si="24"/>
        <v>35031.619999999995</v>
      </c>
      <c r="O23" s="258">
        <f t="shared" si="24"/>
        <v>143289.71</v>
      </c>
      <c r="P23" s="258">
        <f t="shared" si="24"/>
        <v>124782.79000000001</v>
      </c>
      <c r="Q23" s="258">
        <f t="shared" si="24"/>
        <v>18506.919999999998</v>
      </c>
      <c r="R23" s="258">
        <f t="shared" si="24"/>
        <v>147376.70999999996</v>
      </c>
      <c r="S23" s="258">
        <f t="shared" si="24"/>
        <v>111061.09</v>
      </c>
      <c r="T23" s="258">
        <f t="shared" si="24"/>
        <v>36315.620000000003</v>
      </c>
      <c r="U23" s="258">
        <f t="shared" si="24"/>
        <v>145836.4</v>
      </c>
      <c r="V23" s="258">
        <f t="shared" si="24"/>
        <v>112388.76999999999</v>
      </c>
      <c r="W23" s="258">
        <f t="shared" si="24"/>
        <v>33447.630000000005</v>
      </c>
      <c r="X23" s="258">
        <f t="shared" si="24"/>
        <v>97359.529299999995</v>
      </c>
      <c r="Y23" s="258">
        <f t="shared" si="24"/>
        <v>-129723.83930000004</v>
      </c>
      <c r="Z23" s="258">
        <f t="shared" si="24"/>
        <v>-32364.310000000041</v>
      </c>
      <c r="AA23" s="258">
        <f t="shared" ref="AA23:AC23" si="25">AA16-AA10</f>
        <v>170389.61</v>
      </c>
      <c r="AB23" s="258">
        <f t="shared" si="25"/>
        <v>-143181.68</v>
      </c>
      <c r="AC23" s="258">
        <f t="shared" si="25"/>
        <v>27207.929999999993</v>
      </c>
      <c r="AD23" s="258">
        <f t="shared" ref="AD23:AF23" si="26">AD16-AD10</f>
        <v>111700.87999999998</v>
      </c>
      <c r="AE23" s="258">
        <f t="shared" si="26"/>
        <v>-112227.3787</v>
      </c>
      <c r="AF23" s="258">
        <f t="shared" si="26"/>
        <v>5848.5012999999872</v>
      </c>
    </row>
    <row r="26" spans="1:32">
      <c r="B26" t="s">
        <v>23</v>
      </c>
    </row>
    <row r="27" spans="1:32">
      <c r="B27" t="s">
        <v>24</v>
      </c>
    </row>
    <row r="28" spans="1:32">
      <c r="B28" t="s">
        <v>27</v>
      </c>
    </row>
  </sheetData>
  <mergeCells count="9">
    <mergeCell ref="AD2:AF2"/>
    <mergeCell ref="A1:AF1"/>
    <mergeCell ref="AA2:AC2"/>
    <mergeCell ref="X2:Z2"/>
    <mergeCell ref="L2:N2"/>
    <mergeCell ref="I2:K2"/>
    <mergeCell ref="O2:Q2"/>
    <mergeCell ref="R2:T2"/>
    <mergeCell ref="U2:W2"/>
  </mergeCells>
  <conditionalFormatting sqref="N4:N11 T4:T14 W4:W14 Z4:Z14 AC4:AC14 K4:K15 Q4:Q15 N12:P15">
    <cfRule type="cellIs" dxfId="3" priority="17" operator="lessThan">
      <formula>1</formula>
    </cfRule>
    <cfRule type="cellIs" dxfId="2" priority="18" operator="greaterThan">
      <formula>1</formula>
    </cfRule>
  </conditionalFormatting>
  <conditionalFormatting sqref="AF4:AF14">
    <cfRule type="cellIs" dxfId="1" priority="1" operator="lessThan">
      <formula>1</formula>
    </cfRule>
    <cfRule type="cellIs" dxfId="0" priority="2" operator="greaterThan">
      <formula>1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0148e74-5a47-44cf-b91f-7cd5d8175bbb" xsi:nil="true"/>
    <lcf76f155ced4ddcb4097134ff3c332f xmlns="8ded9401-56c9-4eb9-8fb5-42fff0bb719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74A7580EAD5148B5973CD96D4F7BE9" ma:contentTypeVersion="13" ma:contentTypeDescription="Create a new document." ma:contentTypeScope="" ma:versionID="a741118c57b270ff3fac6991679e99bb">
  <xsd:schema xmlns:xsd="http://www.w3.org/2001/XMLSchema" xmlns:xs="http://www.w3.org/2001/XMLSchema" xmlns:p="http://schemas.microsoft.com/office/2006/metadata/properties" xmlns:ns2="8ded9401-56c9-4eb9-8fb5-42fff0bb7192" xmlns:ns3="20148e74-5a47-44cf-b91f-7cd5d8175bbb" targetNamespace="http://schemas.microsoft.com/office/2006/metadata/properties" ma:root="true" ma:fieldsID="a9ee1abfce2b9c0e8a699738c6ef3b06" ns2:_="" ns3:_="">
    <xsd:import namespace="8ded9401-56c9-4eb9-8fb5-42fff0bb7192"/>
    <xsd:import namespace="20148e74-5a47-44cf-b91f-7cd5d8175b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ed9401-56c9-4eb9-8fb5-42fff0bb71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37368727-f9f5-4244-840d-1ab83271fe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148e74-5a47-44cf-b91f-7cd5d8175bb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1fc9954-b2eb-45f5-aaa5-50cefb88b0b7}" ma:internalName="TaxCatchAll" ma:showField="CatchAllData" ma:web="20148e74-5a47-44cf-b91f-7cd5d8175bb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2F7BD55-6E48-4FBC-8390-8CD931A0D610}">
  <ds:schemaRefs>
    <ds:schemaRef ds:uri="http://schemas.microsoft.com/office/2006/metadata/properties"/>
    <ds:schemaRef ds:uri="http://schemas.microsoft.com/office/infopath/2007/PartnerControls"/>
    <ds:schemaRef ds:uri="20148e74-5a47-44cf-b91f-7cd5d8175bbb"/>
    <ds:schemaRef ds:uri="8ded9401-56c9-4eb9-8fb5-42fff0bb7192"/>
  </ds:schemaRefs>
</ds:datastoreItem>
</file>

<file path=customXml/itemProps2.xml><?xml version="1.0" encoding="utf-8"?>
<ds:datastoreItem xmlns:ds="http://schemas.openxmlformats.org/officeDocument/2006/customXml" ds:itemID="{F5488902-2628-4907-A0D5-ECDEAC3568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062241-79C7-46F6-ADC5-F11AFD8FA5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ed9401-56c9-4eb9-8fb5-42fff0bb7192"/>
    <ds:schemaRef ds:uri="20148e74-5a47-44cf-b91f-7cd5d8175b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2023</vt:lpstr>
      <vt:lpstr>2024</vt:lpstr>
      <vt:lpstr>2025</vt:lpstr>
      <vt:lpstr>Setembro</vt:lpstr>
      <vt:lpstr>Outubro</vt:lpstr>
      <vt:lpstr>Novembro</vt:lpstr>
      <vt:lpstr>DEZEMBRO 2025</vt:lpstr>
      <vt:lpstr>JANEIRO 2026</vt:lpstr>
      <vt:lpstr>FEVEREIRO 2026</vt:lpstr>
      <vt:lpstr>MARÇO 2026</vt:lpstr>
      <vt:lpstr>2025 Centro de Custos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</dc:creator>
  <cp:keywords/>
  <dc:description/>
  <cp:lastModifiedBy>Diego Pelliser</cp:lastModifiedBy>
  <cp:revision/>
  <dcterms:created xsi:type="dcterms:W3CDTF">2023-04-06T01:54:58Z</dcterms:created>
  <dcterms:modified xsi:type="dcterms:W3CDTF">2026-05-07T18:25:32Z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0x010100B074A7580EAD5148B5973CD96D4F7BE9</vt:lpwstr>
  </property>
  <property fmtid="{D5CDD505-2E9C-101B-9397-08002B2CF9AE}" pid="3" name="MediaServiceImageTags">
    <vt:lpwstr/>
  </property>
</Properties>
</file>